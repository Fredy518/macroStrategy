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/>
  <xr:revisionPtr revIDLastSave="0" documentId="13_ncr:1_{FDD0A483-1CF7-4D6D-B3F4-B266E9AE6B1A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价格指数" sheetId="4" r:id="rId1"/>
    <sheet name="EDB" sheetId="5" r:id="rId2"/>
    <sheet name="INFO" sheetId="8" r:id="rId3"/>
  </sheets>
  <externalReferences>
    <externalReference r:id="rId4"/>
  </externalReferences>
  <definedNames>
    <definedName name="_xlnm._FilterDatabase" localSheetId="2" hidden="1">INFO!$C$2:$K$28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8" l="1"/>
  <c r="K4" i="8"/>
  <c r="K5" i="8"/>
  <c r="K6" i="8"/>
  <c r="K7" i="8"/>
  <c r="K10" i="8"/>
  <c r="K11" i="8"/>
  <c r="K12" i="8"/>
  <c r="K16" i="8"/>
  <c r="K17" i="8"/>
  <c r="K18" i="8"/>
  <c r="K19" i="8"/>
  <c r="K20" i="8"/>
  <c r="K21" i="8"/>
  <c r="K22" i="8"/>
  <c r="K25" i="8"/>
  <c r="K26" i="8"/>
  <c r="K23" i="8"/>
  <c r="K24" i="8"/>
  <c r="K13" i="8"/>
  <c r="K14" i="8"/>
  <c r="K15" i="8"/>
  <c r="K27" i="8"/>
  <c r="K28" i="8"/>
  <c r="K8" i="8"/>
  <c r="K9" i="8"/>
  <c r="J4" i="8"/>
  <c r="J5" i="8"/>
  <c r="J6" i="8"/>
  <c r="J7" i="8"/>
  <c r="J10" i="8"/>
  <c r="J11" i="8"/>
  <c r="J12" i="8"/>
  <c r="J16" i="8"/>
  <c r="J17" i="8"/>
  <c r="J18" i="8"/>
  <c r="J19" i="8"/>
  <c r="J20" i="8"/>
  <c r="J21" i="8"/>
  <c r="J22" i="8"/>
  <c r="J25" i="8"/>
  <c r="J26" i="8"/>
  <c r="J23" i="8"/>
  <c r="J24" i="8"/>
  <c r="J13" i="8"/>
  <c r="J14" i="8"/>
  <c r="J15" i="8"/>
  <c r="J27" i="8"/>
  <c r="J28" i="8"/>
  <c r="J8" i="8"/>
  <c r="J9" i="8"/>
  <c r="J3" i="8"/>
  <c r="A1" i="5"/>
  <c r="A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A2202E68-033F-4D9C-B3CE-F98464FD52EB}">
      <text>
        <r>
          <rPr>
            <b/>
            <sz val="9"/>
            <color indexed="81"/>
            <rFont val="宋体"/>
            <family val="3"/>
            <charset val="134"/>
          </rPr>
          <t>UEsDBBQAAgAIAHZNDlF0dLaewwEAAOQeAAAKABEAemlwcGVkZmlsZVVUDQAHTuw1X07sNV9O7DVfc3VxYmBlYGDgYGMAg8LiH94poZ3+01bPVdi096sgAxr4DwRAitE5wNNq68Yrh86u2XiCYUgDo2I0AWSvaVw5pDlYHMroawAEZoZGOOSVarjXsFy7sPMXHjN2/tpz6ezmPcf2XSPeXlViFTIxMgybZCG6Zmin6lFAGxDdXGb5y3id34JXUmqPupiK0OWRy8fd24d62QgC/djKR5DXBlPZCAKQ8tHcwBSHfE/74Cgfh0WyGC0fRwE2UMkoLnK14rf//Nq4ghsMGQXo8rDyMWjYtB/PlKAJBA3m9qOhgRGu9mNu2cCXj8MmWYiNlo+jAAuwmMA/IzaGxWex9O1T/7ZFfEKXRy4fh0f7UTaHDVUgaBC3H81MLU0tccgLzR3o8hERdkM+VYyWj6MAG8jfMvHXQ6Z0l46j6yUe3np3Hl0eVj4GADPCidWb9u9ccmnrse1Duc0wsxRNAOS1DVu2fD7wYPu1wdd+NDIyxyHP3TXw7cdhkyxG+9ejABuweS604rzXFo91abVBWwNEbdDlcZSPQ7jNsKWLCVVgMJePJpaGZgY45DsnDrrycegmi9HycRSg5z8gZABjUFqXAJFWEwJWMzAAAFBLAQIXCxQAAgAIAHZNDlF0dLaewwEAAOQeAAAKAAkAAAAAAAAAAAAAgAAAAAB6aXBwZWRmaWxlVVQFAAdO7DVfUEsFBgAAAAABAAEAQQAAAPwBAAAAAA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380542A7-A084-4AD3-B29F-6C6E36E53093}">
      <text>
        <r>
          <rPr>
            <b/>
            <sz val="9"/>
            <color indexed="81"/>
            <rFont val="宋体"/>
            <family val="3"/>
            <charset val="134"/>
          </rPr>
          <t>UEsDBBQAAgAIABdjE1G9gdIDmggAAOSZAAAKABEAemlwcGVkZmlsZVVUDQAHjak8X42pPF+NqTxf7Z0LUFRVGMfvIpmJaU5qMVo4WkmT1N594obEU1x1EanJNAvwmQVMYRmljOUDy8B8IYkNOeM78LELCy677LI81gUU1wV3HdFMqy1LBTKU1oL2XliBw72yNODec+f8h8dyvjt778d+5zffueec74aHhWAPYRg25GmMVKRvenJI3IRZOR/ov9MsuxaIAWpzyPGLExEWJVGo5T9r6iVKuUZ7OlduxOCU7Q1O9waVvfxCpV1ht160KH012ueZcqEcGZfLn8IXCmjsYeuu5zxkMans93kPlV1jPp2nMWgtrp/3WVcP9OBgrAmLf3IgDWekAdWjL2dX5JkKZ2eNXfjOjUuJi0C7k48WU3FjqExqOVH1rySv2aKE1+PH2+K7NxCuFf2uqtceN7QQ/vk6/Hzet67U3aDkyEQivhAX8Wjsqbtrcjx74SNhdjCyqrjReEGVU6115bx94SNrwqIK8RGJQh9nvBV3+/KxSLVx0BeP37EtBO1UfLScg5mPBVEJIEOYzEcej0tjT919jFF8hDosEB+RqLRPZps5x3O5NPO1E1s2f9m6BbQ7+UgC5IimzAkRiVltKSVeQOfxpjhgfA26xgA0kiLG1wKcL6Djo/Xz3vPH/zO+dlkePf930IaFVy5iAVLPPjgy/qmzuZNSI7SLR5aO2B32+pWg/aMvXzkZuXFCum+2YtrM54iDHF9RMqnEVFpwWLnfT2HPqzQU6q7m2zDyB2QqrwEaCMRYDHXXzUpFpapIe6TkBknJqPtkkQ5y4WKc5+/X/oKPD8hns4KHkWehsZ/N8Mr1dOv9RwzrDAvIO0J3Pg7kx4oEkzYkjskI9I4Nz1v3Q+PBl184Ctqd+WPhyXaEwN8hPBuA/JFAjNO9ylM1TeqbBceYkEeS+aM/jy+msed80zsfCXNNg/5O7R8E+/XfF51RX+ntvH3hI2vCAuWPSFRqas1K5dkTgjKFpc1jvFNWg3YnHyt/VV85c7fwrKFQ/1NVvfViwU2JUl5XCuGE5cGPgQYa19w+zCb4yMUFtPlj2kZ3548cjDVh4Y34iEShzY8klug2x83QhIx8bOjk4Lmgvev6HkOxppm8yUT8kdesKC6qrv4JunUd6xd4gQzpXN/jdJEJF8qRCQX8KUJaPirW976+Z+7yxMV9PW9f1/ewIizQ+h4kKk1PGZx4qygkKPfMt7PGvh06CbQ7+RgaJYU1YQTEWwE0dHWNKXMzhMj8kSvC6db3TFjt/vyRNWExGuWPSBQa5sX1TFJ/LcvWPt22MLd6Pmh38jHK0RGMOQqdap9ZaSiEuU/s+ghoIFw7np9/q+THQgvj+IjzeHT3H702uZ+PrAkLxEckKrUFzzT6RH84XSEZOy/FZ8/aHvYOPkazJn889SHQEM3k/BHn8ujyx4SV7ucja8JiDOIjEoUOrVq2Nuu8OSgNn/jwe9vTD4P2LvljtIwVXWHCSqCBdI1JYOxQOx/5Irr9hcHpjMgf2REWKH9EotKoph0nzwd5TlsfURY8sWEN7f5CGS6BP3UktQScv1Y3y82qw7UH9DpmQbKDj/58Gvug1a6t7zFWlzWZW0wmV8/bFz6yJixQ/ohEpduvJu0omLJ89rb373xRP7+1R6Tf4yOPLXxcBhsfhTR2RvCRLWGB+IhEpRHHtmny/ceFbxi55IMZ60S09XuIhW7GC9Yqla18b75Nr4O3WxjbRnVvAF1jzv5CoZAnFIvo8sewHe7nI2vCAvERiaoPKl4cXpNQMWfat/GNNbHzxNY3g6r13nPipbu+8hs+PlBfMgRr319o+Ln6br5Nd9NUR5Q5kFgvWqsUdih7g9cnQANRu0FtV6kIj04UnTsqvyHp7m1PYEaFR4eGR74WOj3Cl0zyxLhgMncyzutXrnJW8DHyrWnsn2T2Ix+Jg+Rm8uWzWN33Ll2gB4ZRhgWMHSGi2/pHzjCEBiQiEAJ2Bo5LfufSTN2q0a3pyTGRtnGCjAbNibCDnwaYY7i655x8dEJEIteevio3S6xVxY111bVlji6hMUDFyReSgQana6aK/LtV5ywHHXzscPJ4vkJXVkGx6gfko1AoHgg+CjDyrWnsPgzg433DAqaOgPiIRKVrb2srf6vwC939RPDh85uvxoJ2qvG1pKReY4C2ltXQmMHdG7q6xqQLdYyveVxcxKer3/Pl1oEZX5svuMrH7uNrqMMC7S9EotLnwUWZzwSNDttfqo9pi8oKB+109x/h9bgEsvuPQrr5Geu2geHj6T9dJCTF/UdoowLdf0Si0nZV0tSEIbFBe9U3FdJLr3iDdicfiQ0Sdbc1tRYl7KvdjElAA9G3zXWVZwAXmVGfgisU0PHx3c/cv/6RNWGB8kckKg2aunTSS2uUwYqz4/+qfVUcD9op+KgulBslGq3yDpweP5XtCTCEwXwU4UIxXRXCNdmM4iPcYYH4iEQlzZNp8w8c+HdW2qL92Uv2mFpAOwUfCw6p/4aycni7AgKeABjCWD4KhSLxFNr1PbEDxEceF+eW/z4V53J7OdADw1gTFuMQH5Eo5OeTsGFrVpk0M/JPnf8vf/cYy3Xun2GLx4thWx9Ot/9656cDM3/dl/kZ1oQFyh+RKPvF1zFL0nf5RO5YXJqSNFm6HbR37p9hi8dLYeMj3fpHRvCRLWGB+IhEpcBD6V4z5P6RaVtttSENixaA9nv1KdjyoJF+ef7MAxHH+ZQbGrv7nz/DYevzZ5CQ2hUfkX1ZlJEizdwoaRmcdG0VaO/Kxy4P5oJYJyHjI+1TopjCR1aEBeIjEiASfeDzCikPwliUKKD8sTeh/BEJqQN9LuaP7EkUUP7Ym1D+iITUgT6wHgXlQY78kTWFCPqlPsUDEcdZ+oLGPmyn++dnWBMWaH4GCRCJPrAeBeVBDj6yphBBv9SneCDiOEtf0NgVGe7mI4vqUyA+IoH9jyjM0/7NwTyeJJokW245usZ/UEsBAhcLFAACAAgAF2MTUb2B0gOaCAAA5JkAAAoACQAAAAAAAAAAAACAAAAAAHppcHBlZGZpbGVVVAUAB42pPF9QSwUGAAAAAAEAAQBBAAAA0wgAAAAA</t>
        </r>
      </text>
    </comment>
  </commentList>
</comments>
</file>

<file path=xl/sharedStrings.xml><?xml version="1.0" encoding="utf-8"?>
<sst xmlns="http://schemas.openxmlformats.org/spreadsheetml/2006/main" count="149" uniqueCount="90">
  <si>
    <t>指标名称</t>
    <phoneticPr fontId="4" type="noConversion"/>
  </si>
  <si>
    <t>CPI:当月同比</t>
    <phoneticPr fontId="4" type="noConversion"/>
  </si>
  <si>
    <t>CPI:环比</t>
    <phoneticPr fontId="4" type="noConversion"/>
  </si>
  <si>
    <t>RPI:当月同比</t>
    <phoneticPr fontId="4" type="noConversion"/>
  </si>
  <si>
    <t>RPI:环比</t>
    <phoneticPr fontId="4" type="noConversion"/>
  </si>
  <si>
    <t>PPI:全部工业品:当月同比</t>
    <phoneticPr fontId="4" type="noConversion"/>
  </si>
  <si>
    <t>PPI:全部工业品:环比</t>
    <phoneticPr fontId="4" type="noConversion"/>
  </si>
  <si>
    <t>GDP:不变价:当季同比</t>
    <phoneticPr fontId="4" type="noConversion"/>
  </si>
  <si>
    <t>中金CMI指数:初值</t>
    <phoneticPr fontId="4" type="noConversion"/>
  </si>
  <si>
    <t>中金CMI指数:终值</t>
    <phoneticPr fontId="4" type="noConversion"/>
  </si>
  <si>
    <t>宏观经济景气指数:一致指数</t>
    <phoneticPr fontId="4" type="noConversion"/>
  </si>
  <si>
    <t>工业增加值:当月同比</t>
    <phoneticPr fontId="4" type="noConversion"/>
  </si>
  <si>
    <t>非制造业PMI:新订单</t>
    <phoneticPr fontId="4" type="noConversion"/>
  </si>
  <si>
    <t>社会消费品零售总额:当月同比</t>
    <phoneticPr fontId="4" type="noConversion"/>
  </si>
  <si>
    <t>GDP:平减指数:GDP:初步核算:当季同比</t>
    <phoneticPr fontId="4" type="noConversion"/>
  </si>
  <si>
    <t>PPIRM:当月同比</t>
    <phoneticPr fontId="4" type="noConversion"/>
  </si>
  <si>
    <t>M1:同比</t>
    <phoneticPr fontId="4" type="noConversion"/>
  </si>
  <si>
    <t>M2:同比</t>
    <phoneticPr fontId="4" type="noConversion"/>
  </si>
  <si>
    <t>社会融资规模存量:同比</t>
    <phoneticPr fontId="4" type="noConversion"/>
  </si>
  <si>
    <t>其他存款性公司:总资产:同比</t>
    <phoneticPr fontId="4" type="noConversion"/>
  </si>
  <si>
    <t>金融机构:本外币:资金运用:总计:同比</t>
    <phoneticPr fontId="4" type="noConversion"/>
  </si>
  <si>
    <t>社会融资规模:累计值</t>
    <phoneticPr fontId="4" type="noConversion"/>
  </si>
  <si>
    <t>社会融资规模存量</t>
    <phoneticPr fontId="4" type="noConversion"/>
  </si>
  <si>
    <t>工业增加值:环比:季调</t>
    <phoneticPr fontId="4" type="noConversion"/>
  </si>
  <si>
    <t>工业增加值:定基指数</t>
    <phoneticPr fontId="4" type="noConversion"/>
  </si>
  <si>
    <t>M1</t>
    <phoneticPr fontId="4" type="noConversion"/>
  </si>
  <si>
    <t>M2</t>
    <phoneticPr fontId="4" type="noConversion"/>
  </si>
  <si>
    <t>inModel</t>
    <phoneticPr fontId="4" type="noConversion"/>
  </si>
  <si>
    <t>macroEcoIdx</t>
    <phoneticPr fontId="4" type="noConversion"/>
  </si>
  <si>
    <t>abbr</t>
    <phoneticPr fontId="4" type="noConversion"/>
  </si>
  <si>
    <t>GDP</t>
    <phoneticPr fontId="4" type="noConversion"/>
  </si>
  <si>
    <t>ECI</t>
    <phoneticPr fontId="4" type="noConversion"/>
  </si>
  <si>
    <t>IND</t>
    <phoneticPr fontId="4" type="noConversion"/>
  </si>
  <si>
    <t>PMIN</t>
    <phoneticPr fontId="4" type="noConversion"/>
  </si>
  <si>
    <t>CMIB</t>
    <phoneticPr fontId="4" type="noConversion"/>
  </si>
  <si>
    <t>CMIE</t>
    <phoneticPr fontId="4" type="noConversion"/>
  </si>
  <si>
    <t>CONS</t>
    <phoneticPr fontId="4" type="noConversion"/>
  </si>
  <si>
    <t>时间区间</t>
    <phoneticPr fontId="4" type="noConversion"/>
  </si>
  <si>
    <t>更新时间</t>
    <phoneticPr fontId="4" type="noConversion"/>
  </si>
  <si>
    <t>PMI:新订单-产成品库存</t>
    <phoneticPr fontId="4" type="noConversion"/>
  </si>
  <si>
    <t>PMI:新订单</t>
    <phoneticPr fontId="4" type="noConversion"/>
  </si>
  <si>
    <t>PMI:产成品库存</t>
    <phoneticPr fontId="4" type="noConversion"/>
  </si>
  <si>
    <t>combine</t>
    <phoneticPr fontId="4" type="noConversion"/>
  </si>
  <si>
    <t>PRICE</t>
    <phoneticPr fontId="4" type="noConversion"/>
  </si>
  <si>
    <t>CPI</t>
    <phoneticPr fontId="4" type="noConversion"/>
  </si>
  <si>
    <t>PPI</t>
    <phoneticPr fontId="4" type="noConversion"/>
  </si>
  <si>
    <t>RPI</t>
    <phoneticPr fontId="4" type="noConversion"/>
  </si>
  <si>
    <t>PPIRM</t>
    <phoneticPr fontId="4" type="noConversion"/>
  </si>
  <si>
    <t>M1</t>
    <phoneticPr fontId="4" type="noConversion"/>
  </si>
  <si>
    <t>M2</t>
    <phoneticPr fontId="4" type="noConversion"/>
  </si>
  <si>
    <t>PMI</t>
    <phoneticPr fontId="4" type="noConversion"/>
  </si>
  <si>
    <t>FIN</t>
    <phoneticPr fontId="4" type="noConversion"/>
  </si>
  <si>
    <t>ASSET</t>
    <phoneticPr fontId="4" type="noConversion"/>
  </si>
  <si>
    <t>NA</t>
    <phoneticPr fontId="4" type="noConversion"/>
  </si>
  <si>
    <t>FINC</t>
    <phoneticPr fontId="4" type="noConversion"/>
  </si>
  <si>
    <t>FINO</t>
    <phoneticPr fontId="4" type="noConversion"/>
  </si>
  <si>
    <t>beg</t>
    <phoneticPr fontId="4" type="noConversion"/>
  </si>
  <si>
    <t>update</t>
    <phoneticPr fontId="4" type="noConversion"/>
  </si>
  <si>
    <t>cycType</t>
    <phoneticPr fontId="4" type="noConversion"/>
  </si>
  <si>
    <t>deflator</t>
  </si>
  <si>
    <t>alternative</t>
    <phoneticPr fontId="4" type="noConversion"/>
  </si>
  <si>
    <t>1983-01:2022-12</t>
    <phoneticPr fontId="4" type="noConversion"/>
  </si>
  <si>
    <t>2023-01-16</t>
    <phoneticPr fontId="4" type="noConversion"/>
  </si>
  <si>
    <t>1992-03:2025-03</t>
    <phoneticPr fontId="4" type="noConversion"/>
  </si>
  <si>
    <t>2009-01:2025-04</t>
    <phoneticPr fontId="4" type="noConversion"/>
  </si>
  <si>
    <t>2009-01:2025-03</t>
    <phoneticPr fontId="4" type="noConversion"/>
  </si>
  <si>
    <t>1991-01:2024-11</t>
    <phoneticPr fontId="4" type="noConversion"/>
  </si>
  <si>
    <t>2005-01:2025-04</t>
    <phoneticPr fontId="4" type="noConversion"/>
  </si>
  <si>
    <t>2007-01:2025-04</t>
    <phoneticPr fontId="4" type="noConversion"/>
  </si>
  <si>
    <t>1995-01:2025-03</t>
    <phoneticPr fontId="4" type="noConversion"/>
  </si>
  <si>
    <t>1993-03:2025-03</t>
    <phoneticPr fontId="4" type="noConversion"/>
  </si>
  <si>
    <t>1990-01:2025-03</t>
    <phoneticPr fontId="4" type="noConversion"/>
  </si>
  <si>
    <t>2011-02:2025-03</t>
    <phoneticPr fontId="4" type="noConversion"/>
  </si>
  <si>
    <t>2011-01:2025-03</t>
    <phoneticPr fontId="4" type="noConversion"/>
  </si>
  <si>
    <t>2025-04-16</t>
    <phoneticPr fontId="4" type="noConversion"/>
  </si>
  <si>
    <t>2025-05-06</t>
    <phoneticPr fontId="4" type="noConversion"/>
  </si>
  <si>
    <t>2025-02-05</t>
    <phoneticPr fontId="4" type="noConversion"/>
  </si>
  <si>
    <t>2025-04-30</t>
    <phoneticPr fontId="4" type="noConversion"/>
  </si>
  <si>
    <t>2025-04-17</t>
    <phoneticPr fontId="4" type="noConversion"/>
  </si>
  <si>
    <t>1987-01:2025-04</t>
    <phoneticPr fontId="4" type="noConversion"/>
  </si>
  <si>
    <t>1996-10:2025-04</t>
    <phoneticPr fontId="4" type="noConversion"/>
  </si>
  <si>
    <t>1986-12:2025-04</t>
    <phoneticPr fontId="4" type="noConversion"/>
  </si>
  <si>
    <t>2003-12:2025-04</t>
    <phoneticPr fontId="4" type="noConversion"/>
  </si>
  <si>
    <t>2006-03:2025-04</t>
    <phoneticPr fontId="4" type="noConversion"/>
  </si>
  <si>
    <t>2005-12:2025-04</t>
    <phoneticPr fontId="4" type="noConversion"/>
  </si>
  <si>
    <t>2002-01:2025-04</t>
    <phoneticPr fontId="4" type="noConversion"/>
  </si>
  <si>
    <t>2002-12:2025-04</t>
    <phoneticPr fontId="4" type="noConversion"/>
  </si>
  <si>
    <t>1985-12:2025-04</t>
    <phoneticPr fontId="4" type="noConversion"/>
  </si>
  <si>
    <t>2025-05-10</t>
    <phoneticPr fontId="4" type="noConversion"/>
  </si>
  <si>
    <t>2025-05-14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</si>
</sst>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yyyy\-mm;@"/>
    <numFmt numFmtId="177" formatCode="###,###,###,###,##0.00"/>
    <numFmt numFmtId="178" formatCode="#,##0.00_ "/>
    <numFmt numFmtId="179" formatCode="yyyy\-mm"/>
  </numFmts>
  <fonts count="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  <font>
      <b/>
      <sz val="11"/>
      <color indexed="1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indexed="10"/>
      <name val="仿宋"/>
      <family val="3"/>
      <charset val="134"/>
    </font>
    <font>
      <sz val="11"/>
      <color theme="1"/>
      <name val="仿宋"/>
      <family val="3"/>
      <charset val="134"/>
    </font>
    <font>
      <b/>
      <sz val="11"/>
      <color theme="1"/>
      <name val="仿宋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4">
    <xf numFmtId="0" fontId="0" fillId="0" borderId="0" xfId="0"/>
    <xf numFmtId="0" fontId="3" fillId="0" borderId="0" xfId="0" applyFont="1"/>
    <xf numFmtId="2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center" vertical="top" wrapText="1"/>
    </xf>
    <xf numFmtId="178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178" fontId="6" fillId="0" borderId="1" xfId="0" applyNumberFormat="1" applyFont="1" applyBorder="1" applyAlignment="1">
      <alignment horizontal="right"/>
    </xf>
    <xf numFmtId="178" fontId="6" fillId="0" borderId="0" xfId="0" applyNumberFormat="1" applyFont="1" applyAlignment="1">
      <alignment horizontal="right"/>
    </xf>
    <xf numFmtId="178" fontId="6" fillId="0" borderId="1" xfId="0" applyNumberFormat="1" applyFont="1" applyBorder="1" applyAlignment="1">
      <alignment horizontal="right" vertical="center"/>
    </xf>
    <xf numFmtId="179" fontId="6" fillId="0" borderId="1" xfId="0" applyNumberFormat="1" applyFont="1" applyBorder="1" applyAlignment="1">
      <alignment horizontal="right"/>
    </xf>
    <xf numFmtId="179" fontId="6" fillId="0" borderId="0" xfId="0" applyNumberFormat="1" applyFont="1" applyAlignment="1">
      <alignment horizontal="right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left"/>
    </xf>
    <xf numFmtId="0" fontId="7" fillId="0" borderId="1" xfId="0" applyNumberFormat="1" applyFont="1" applyBorder="1" applyAlignment="1">
      <alignment horizontal="left" vertical="top" wrapText="1"/>
    </xf>
    <xf numFmtId="0" fontId="6" fillId="0" borderId="1" xfId="0" applyNumberFormat="1" applyFont="1" applyBorder="1" applyAlignment="1">
      <alignment horizontal="left" wrapText="1"/>
    </xf>
    <xf numFmtId="0" fontId="6" fillId="0" borderId="1" xfId="0" applyNumberFormat="1" applyFont="1" applyBorder="1" applyAlignment="1">
      <alignment horizontal="left"/>
    </xf>
    <xf numFmtId="0" fontId="6" fillId="0" borderId="1" xfId="0" quotePrefix="1" applyNumberFormat="1" applyFont="1" applyBorder="1" applyAlignment="1">
      <alignment horizontal="left"/>
    </xf>
    <xf numFmtId="0" fontId="6" fillId="0" borderId="1" xfId="0" quotePrefix="1" applyNumberFormat="1" applyFont="1" applyBorder="1" applyAlignment="1">
      <alignment horizontal="left" vertical="center"/>
    </xf>
  </cellXfs>
  <cellStyles count="2">
    <cellStyle name="常规" xfId="0" builtinId="0"/>
    <cellStyle name="常规 2" xfId="1" xr:uid="{00000000-0005-0000-0000-00002F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1" defaultTableStyle="TableStyleMedium2" defaultPivotStyle="PivotStyleLight16">
    <tableStyle name="Invisible" pivot="0" table="0" count="0" xr9:uid="{57641CEB-FB34-4EB9-8A29-4B54F3E9A6C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6043-E482-42CC-9569-3337FDC690F8}">
  <dimension ref="A1:H294"/>
  <sheetViews>
    <sheetView workbookViewId="0">
      <selection activeCell="H31" sqref="H31"/>
    </sheetView>
  </sheetViews>
  <sheetFormatPr defaultRowHeight="14" x14ac:dyDescent="0.3"/>
  <cols>
    <col min="8" max="8" width="11.1640625" bestFit="1" customWidth="1"/>
  </cols>
  <sheetData>
    <row r="1" spans="1:8" x14ac:dyDescent="0.3">
      <c r="A1" s="1" t="str">
        <f>[1]!edb()</f>
        <v>Wind</v>
      </c>
    </row>
    <row r="2" spans="1:8" x14ac:dyDescent="0.3">
      <c r="A2" s="28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</row>
    <row r="3" spans="1:8" x14ac:dyDescent="0.3">
      <c r="A3" s="8">
        <v>36922</v>
      </c>
      <c r="B3" s="7">
        <v>1.2</v>
      </c>
      <c r="C3" s="7">
        <v>0.9</v>
      </c>
      <c r="D3" s="7">
        <v>-0.5</v>
      </c>
      <c r="E3" s="7">
        <v>0</v>
      </c>
      <c r="F3" s="7">
        <v>1.43</v>
      </c>
      <c r="G3" s="7">
        <v>0</v>
      </c>
    </row>
    <row r="4" spans="1:8" x14ac:dyDescent="0.3">
      <c r="A4" s="8">
        <v>36950</v>
      </c>
      <c r="B4" s="7">
        <v>0</v>
      </c>
      <c r="C4" s="7">
        <v>0.1</v>
      </c>
      <c r="D4" s="7">
        <v>-1.7</v>
      </c>
      <c r="E4" s="7">
        <v>0</v>
      </c>
      <c r="F4" s="7">
        <v>0.9</v>
      </c>
      <c r="G4" s="7">
        <v>0</v>
      </c>
    </row>
    <row r="5" spans="1:8" x14ac:dyDescent="0.3">
      <c r="A5" s="8">
        <v>36981</v>
      </c>
      <c r="B5" s="7">
        <v>0.8</v>
      </c>
      <c r="C5" s="7">
        <v>-0.6</v>
      </c>
      <c r="D5" s="7">
        <v>-0.9</v>
      </c>
      <c r="E5" s="7">
        <v>0</v>
      </c>
      <c r="F5" s="7">
        <v>0.2</v>
      </c>
      <c r="G5" s="7">
        <v>0</v>
      </c>
    </row>
    <row r="6" spans="1:8" x14ac:dyDescent="0.3">
      <c r="A6" s="8">
        <v>37011</v>
      </c>
      <c r="B6" s="7">
        <v>1.6</v>
      </c>
      <c r="C6" s="7">
        <v>0.2</v>
      </c>
      <c r="D6" s="7">
        <v>0.1</v>
      </c>
      <c r="E6" s="7">
        <v>0</v>
      </c>
      <c r="F6" s="7">
        <v>-0.1</v>
      </c>
      <c r="G6" s="7">
        <v>0</v>
      </c>
    </row>
    <row r="7" spans="1:8" x14ac:dyDescent="0.3">
      <c r="A7" s="8">
        <v>37042</v>
      </c>
      <c r="B7" s="7">
        <v>1.7</v>
      </c>
      <c r="C7" s="7">
        <v>-0.5</v>
      </c>
      <c r="D7" s="7">
        <v>0.1</v>
      </c>
      <c r="E7" s="7">
        <v>0</v>
      </c>
      <c r="F7" s="7">
        <v>-0.2</v>
      </c>
      <c r="G7" s="7">
        <v>0</v>
      </c>
    </row>
    <row r="8" spans="1:8" x14ac:dyDescent="0.3">
      <c r="A8" s="8">
        <v>37072</v>
      </c>
      <c r="B8" s="7">
        <v>1.4</v>
      </c>
      <c r="C8" s="7">
        <v>-1.2</v>
      </c>
      <c r="D8" s="7">
        <v>-0.1</v>
      </c>
      <c r="E8" s="7">
        <v>0</v>
      </c>
      <c r="F8" s="7">
        <v>-0.6</v>
      </c>
      <c r="G8" s="7">
        <v>0</v>
      </c>
    </row>
    <row r="9" spans="1:8" x14ac:dyDescent="0.3">
      <c r="A9" s="8">
        <v>37103</v>
      </c>
      <c r="B9" s="7">
        <v>1.5</v>
      </c>
      <c r="C9" s="7">
        <v>-0.5</v>
      </c>
      <c r="D9" s="7">
        <v>-0.2</v>
      </c>
      <c r="E9" s="7">
        <v>0</v>
      </c>
      <c r="F9" s="7">
        <v>-1.3</v>
      </c>
      <c r="G9" s="7">
        <v>0</v>
      </c>
    </row>
    <row r="10" spans="1:8" x14ac:dyDescent="0.3">
      <c r="A10" s="8">
        <v>37134</v>
      </c>
      <c r="B10" s="7">
        <v>1</v>
      </c>
      <c r="C10" s="7">
        <v>0.1</v>
      </c>
      <c r="D10" s="7">
        <v>-1.2</v>
      </c>
      <c r="E10" s="7">
        <v>0</v>
      </c>
      <c r="F10" s="7">
        <v>-2</v>
      </c>
      <c r="G10" s="7">
        <v>0</v>
      </c>
    </row>
    <row r="11" spans="1:8" x14ac:dyDescent="0.3">
      <c r="A11" s="8">
        <v>37164</v>
      </c>
      <c r="B11" s="7">
        <v>-0.1</v>
      </c>
      <c r="C11" s="7">
        <v>0.9</v>
      </c>
      <c r="D11" s="7">
        <v>-1.3</v>
      </c>
      <c r="E11" s="7">
        <v>0</v>
      </c>
      <c r="F11" s="7">
        <v>-2.9</v>
      </c>
      <c r="G11" s="7">
        <v>0</v>
      </c>
    </row>
    <row r="12" spans="1:8" x14ac:dyDescent="0.3">
      <c r="A12" s="8">
        <v>37195</v>
      </c>
      <c r="B12" s="7">
        <v>0.2</v>
      </c>
      <c r="C12" s="7">
        <v>0.3</v>
      </c>
      <c r="D12" s="7">
        <v>-0.8</v>
      </c>
      <c r="E12" s="7">
        <v>0</v>
      </c>
      <c r="F12" s="7">
        <v>-3.1</v>
      </c>
      <c r="G12" s="7">
        <v>0</v>
      </c>
    </row>
    <row r="13" spans="1:8" x14ac:dyDescent="0.3">
      <c r="A13" s="8">
        <v>37225</v>
      </c>
      <c r="B13" s="7">
        <v>-0.3</v>
      </c>
      <c r="C13" s="7">
        <v>-0.2</v>
      </c>
      <c r="D13" s="7">
        <v>-1.7</v>
      </c>
      <c r="E13" s="7">
        <v>0</v>
      </c>
      <c r="F13" s="7">
        <v>-3.7</v>
      </c>
      <c r="G13" s="7">
        <v>0</v>
      </c>
    </row>
    <row r="14" spans="1:8" x14ac:dyDescent="0.3">
      <c r="A14" s="8">
        <v>37256</v>
      </c>
      <c r="B14" s="7">
        <v>-0.3</v>
      </c>
      <c r="C14" s="7">
        <v>0.1</v>
      </c>
      <c r="D14" s="7">
        <v>-1.8</v>
      </c>
      <c r="E14" s="7">
        <v>0</v>
      </c>
      <c r="F14" s="7">
        <v>-4</v>
      </c>
      <c r="G14" s="7">
        <v>0</v>
      </c>
    </row>
    <row r="15" spans="1:8" x14ac:dyDescent="0.3">
      <c r="A15" s="8">
        <v>37287</v>
      </c>
      <c r="B15" s="7">
        <v>-1</v>
      </c>
      <c r="C15" s="7">
        <v>0.3</v>
      </c>
      <c r="D15" s="7">
        <v>-2</v>
      </c>
      <c r="E15" s="7">
        <v>0</v>
      </c>
      <c r="F15" s="7">
        <v>-4.2</v>
      </c>
      <c r="G15" s="7">
        <v>-1.1000000000000001</v>
      </c>
      <c r="H15" s="2"/>
    </row>
    <row r="16" spans="1:8" x14ac:dyDescent="0.3">
      <c r="A16" s="8">
        <v>37315</v>
      </c>
      <c r="B16" s="7">
        <v>0</v>
      </c>
      <c r="C16" s="7">
        <v>1.1000000000000001</v>
      </c>
      <c r="D16" s="7">
        <v>-1.1000000000000001</v>
      </c>
      <c r="E16" s="7">
        <v>0</v>
      </c>
      <c r="F16" s="7">
        <v>-4.2</v>
      </c>
      <c r="G16" s="7">
        <v>-0.4</v>
      </c>
      <c r="H16" s="2"/>
    </row>
    <row r="17" spans="1:8" x14ac:dyDescent="0.3">
      <c r="A17" s="8">
        <v>37346</v>
      </c>
      <c r="B17" s="7">
        <v>-0.8</v>
      </c>
      <c r="C17" s="7">
        <v>-1.3</v>
      </c>
      <c r="D17" s="7">
        <v>-1.8</v>
      </c>
      <c r="E17" s="7">
        <v>0</v>
      </c>
      <c r="F17" s="7">
        <v>-4</v>
      </c>
      <c r="G17" s="7">
        <v>-0.7</v>
      </c>
      <c r="H17" s="2"/>
    </row>
    <row r="18" spans="1:8" x14ac:dyDescent="0.3">
      <c r="A18" s="8">
        <v>37376</v>
      </c>
      <c r="B18" s="7">
        <v>-1.3</v>
      </c>
      <c r="C18" s="7">
        <v>-0.3</v>
      </c>
      <c r="D18" s="7">
        <v>-2.1</v>
      </c>
      <c r="E18" s="7">
        <v>0</v>
      </c>
      <c r="F18" s="7">
        <v>-3.06</v>
      </c>
      <c r="G18" s="7">
        <v>0.5</v>
      </c>
      <c r="H18" s="2"/>
    </row>
    <row r="19" spans="1:8" x14ac:dyDescent="0.3">
      <c r="A19" s="8">
        <v>37407</v>
      </c>
      <c r="B19" s="7">
        <v>-1.1000000000000001</v>
      </c>
      <c r="C19" s="7">
        <v>-0.3</v>
      </c>
      <c r="D19" s="7">
        <v>-1.8</v>
      </c>
      <c r="E19" s="7">
        <v>0</v>
      </c>
      <c r="F19" s="7">
        <v>-2.63</v>
      </c>
      <c r="G19" s="7">
        <v>1.4</v>
      </c>
      <c r="H19" s="2"/>
    </row>
    <row r="20" spans="1:8" x14ac:dyDescent="0.3">
      <c r="A20" s="8">
        <v>37437</v>
      </c>
      <c r="B20" s="7">
        <v>-0.8</v>
      </c>
      <c r="C20" s="7">
        <v>-0.9</v>
      </c>
      <c r="D20" s="7">
        <v>-0.8</v>
      </c>
      <c r="E20" s="7">
        <v>0</v>
      </c>
      <c r="F20" s="7">
        <v>-2.5</v>
      </c>
      <c r="G20" s="7">
        <v>0.4</v>
      </c>
      <c r="H20" s="2"/>
    </row>
    <row r="21" spans="1:8" x14ac:dyDescent="0.3">
      <c r="A21" s="8">
        <v>37468</v>
      </c>
      <c r="B21" s="7">
        <v>-0.9</v>
      </c>
      <c r="C21" s="7">
        <v>-0.7</v>
      </c>
      <c r="D21" s="7">
        <v>-1.1000000000000001</v>
      </c>
      <c r="E21" s="7">
        <v>0</v>
      </c>
      <c r="F21" s="7">
        <v>-2.2999999999999998</v>
      </c>
      <c r="G21" s="7">
        <v>0.1</v>
      </c>
      <c r="H21" s="2"/>
    </row>
    <row r="22" spans="1:8" x14ac:dyDescent="0.3">
      <c r="A22" s="8">
        <v>37499</v>
      </c>
      <c r="B22" s="7">
        <v>-0.7</v>
      </c>
      <c r="C22" s="7">
        <v>0.3</v>
      </c>
      <c r="D22" s="7">
        <v>-1.1000000000000001</v>
      </c>
      <c r="E22" s="7">
        <v>0</v>
      </c>
      <c r="F22" s="7">
        <v>-1.7</v>
      </c>
      <c r="G22" s="7">
        <v>0.2</v>
      </c>
      <c r="H22" s="2"/>
    </row>
    <row r="23" spans="1:8" x14ac:dyDescent="0.3">
      <c r="A23" s="8">
        <v>37529</v>
      </c>
      <c r="B23" s="7">
        <v>-0.7</v>
      </c>
      <c r="C23" s="7">
        <v>1</v>
      </c>
      <c r="D23" s="7">
        <v>-1</v>
      </c>
      <c r="E23" s="7">
        <v>0</v>
      </c>
      <c r="F23" s="7">
        <v>-1.4</v>
      </c>
      <c r="G23" s="7">
        <v>0.1</v>
      </c>
      <c r="H23" s="2"/>
    </row>
    <row r="24" spans="1:8" x14ac:dyDescent="0.3">
      <c r="A24" s="8">
        <v>37560</v>
      </c>
      <c r="B24" s="7">
        <v>-0.8</v>
      </c>
      <c r="C24" s="7">
        <v>0.2</v>
      </c>
      <c r="D24" s="7">
        <v>-1.2</v>
      </c>
      <c r="E24" s="7">
        <v>0</v>
      </c>
      <c r="F24" s="7">
        <v>-1</v>
      </c>
      <c r="G24" s="7">
        <v>0.5</v>
      </c>
      <c r="H24" s="2"/>
    </row>
    <row r="25" spans="1:8" x14ac:dyDescent="0.3">
      <c r="A25" s="8">
        <v>37590</v>
      </c>
      <c r="B25" s="7">
        <v>-0.7</v>
      </c>
      <c r="C25" s="7">
        <v>-0.1</v>
      </c>
      <c r="D25" s="7">
        <v>-0.9</v>
      </c>
      <c r="E25" s="7">
        <v>0</v>
      </c>
      <c r="F25" s="7">
        <v>-0.4</v>
      </c>
      <c r="G25" s="7">
        <v>0.1</v>
      </c>
      <c r="H25" s="2"/>
    </row>
    <row r="26" spans="1:8" x14ac:dyDescent="0.3">
      <c r="A26" s="8">
        <v>37621</v>
      </c>
      <c r="B26" s="7">
        <v>-0.4</v>
      </c>
      <c r="C26" s="7">
        <v>0.3</v>
      </c>
      <c r="D26" s="7">
        <v>-0.3</v>
      </c>
      <c r="E26" s="7">
        <v>0</v>
      </c>
      <c r="F26" s="7">
        <v>0.4</v>
      </c>
      <c r="G26" s="7">
        <v>-0.5</v>
      </c>
      <c r="H26" s="2"/>
    </row>
    <row r="27" spans="1:8" x14ac:dyDescent="0.3">
      <c r="A27" s="8">
        <v>37652</v>
      </c>
      <c r="B27" s="7">
        <v>0.4</v>
      </c>
      <c r="C27" s="7">
        <v>1.1000000000000001</v>
      </c>
      <c r="D27" s="7">
        <v>-0.6</v>
      </c>
      <c r="E27" s="7">
        <v>0</v>
      </c>
      <c r="F27" s="7">
        <v>2.4</v>
      </c>
      <c r="G27" s="7">
        <v>0.9</v>
      </c>
      <c r="H27" s="2"/>
    </row>
    <row r="28" spans="1:8" x14ac:dyDescent="0.3">
      <c r="A28" s="8">
        <v>37680</v>
      </c>
      <c r="B28" s="7">
        <v>0.2</v>
      </c>
      <c r="C28" s="7">
        <v>0.9</v>
      </c>
      <c r="D28" s="7">
        <v>-0.3</v>
      </c>
      <c r="E28" s="7">
        <v>0</v>
      </c>
      <c r="F28" s="7">
        <v>4</v>
      </c>
      <c r="G28" s="7">
        <v>1.1000000000000001</v>
      </c>
      <c r="H28" s="2"/>
    </row>
    <row r="29" spans="1:8" x14ac:dyDescent="0.3">
      <c r="A29" s="8">
        <v>37711</v>
      </c>
      <c r="B29" s="7">
        <v>0.9</v>
      </c>
      <c r="C29" s="7">
        <v>-0.6</v>
      </c>
      <c r="D29" s="7">
        <v>0.2</v>
      </c>
      <c r="E29" s="7">
        <v>0</v>
      </c>
      <c r="F29" s="7">
        <v>4.5999999999999996</v>
      </c>
      <c r="G29" s="7">
        <v>-0.1</v>
      </c>
      <c r="H29" s="2"/>
    </row>
    <row r="30" spans="1:8" x14ac:dyDescent="0.3">
      <c r="A30" s="8">
        <v>37741</v>
      </c>
      <c r="B30" s="7">
        <v>1</v>
      </c>
      <c r="C30" s="7">
        <v>-0.2</v>
      </c>
      <c r="D30" s="7">
        <v>0.1</v>
      </c>
      <c r="E30" s="7">
        <v>0</v>
      </c>
      <c r="F30" s="7">
        <v>3.6</v>
      </c>
      <c r="G30" s="7">
        <v>-0.4</v>
      </c>
      <c r="H30" s="2"/>
    </row>
    <row r="31" spans="1:8" x14ac:dyDescent="0.3">
      <c r="A31" s="8">
        <v>37772</v>
      </c>
      <c r="B31" s="7">
        <v>0.7</v>
      </c>
      <c r="C31" s="7">
        <v>-0.7</v>
      </c>
      <c r="D31" s="7">
        <v>-0.6</v>
      </c>
      <c r="E31" s="7">
        <v>0</v>
      </c>
      <c r="F31" s="7">
        <v>2</v>
      </c>
      <c r="G31" s="7">
        <v>-0.5</v>
      </c>
      <c r="H31" s="2"/>
    </row>
    <row r="32" spans="1:8" x14ac:dyDescent="0.3">
      <c r="A32" s="8">
        <v>37802</v>
      </c>
      <c r="B32" s="7">
        <v>0.3</v>
      </c>
      <c r="C32" s="7">
        <v>-1.2</v>
      </c>
      <c r="D32" s="7">
        <v>-1.3</v>
      </c>
      <c r="E32" s="7">
        <v>0</v>
      </c>
      <c r="F32" s="7">
        <v>1.3</v>
      </c>
      <c r="G32" s="7">
        <v>-0.3</v>
      </c>
      <c r="H32" s="2"/>
    </row>
    <row r="33" spans="1:8" x14ac:dyDescent="0.3">
      <c r="A33" s="8">
        <v>37833</v>
      </c>
      <c r="B33" s="7">
        <v>0.5</v>
      </c>
      <c r="C33" s="7">
        <v>-0.5</v>
      </c>
      <c r="D33" s="7">
        <v>-1.2</v>
      </c>
      <c r="E33" s="7">
        <v>0</v>
      </c>
      <c r="F33" s="7">
        <v>1.4</v>
      </c>
      <c r="G33" s="7">
        <v>0.2</v>
      </c>
      <c r="H33" s="2"/>
    </row>
    <row r="34" spans="1:8" x14ac:dyDescent="0.3">
      <c r="A34" s="8">
        <v>37864</v>
      </c>
      <c r="B34" s="7">
        <v>0.9</v>
      </c>
      <c r="C34" s="7">
        <v>0.7</v>
      </c>
      <c r="D34" s="7">
        <v>-0.7</v>
      </c>
      <c r="E34" s="7">
        <v>0</v>
      </c>
      <c r="F34" s="7">
        <v>1.4</v>
      </c>
      <c r="G34" s="7">
        <v>0.2</v>
      </c>
      <c r="H34" s="2"/>
    </row>
    <row r="35" spans="1:8" x14ac:dyDescent="0.3">
      <c r="A35" s="8">
        <v>37894</v>
      </c>
      <c r="B35" s="7">
        <v>1.1000000000000001</v>
      </c>
      <c r="C35" s="7">
        <v>1.2</v>
      </c>
      <c r="D35" s="7">
        <v>-0.4</v>
      </c>
      <c r="E35" s="7">
        <v>0</v>
      </c>
      <c r="F35" s="7">
        <v>1.4</v>
      </c>
      <c r="G35" s="7">
        <v>0.1</v>
      </c>
      <c r="H35" s="2"/>
    </row>
    <row r="36" spans="1:8" x14ac:dyDescent="0.3">
      <c r="A36" s="8">
        <v>37925</v>
      </c>
      <c r="B36" s="7">
        <v>1.8</v>
      </c>
      <c r="C36" s="7">
        <v>0.9</v>
      </c>
      <c r="D36" s="7">
        <v>0.3</v>
      </c>
      <c r="E36" s="7">
        <v>0</v>
      </c>
      <c r="F36" s="7">
        <v>1.2</v>
      </c>
      <c r="G36" s="7">
        <v>0.3</v>
      </c>
      <c r="H36" s="2"/>
    </row>
    <row r="37" spans="1:8" x14ac:dyDescent="0.3">
      <c r="A37" s="8">
        <v>37955</v>
      </c>
      <c r="B37" s="7">
        <v>3</v>
      </c>
      <c r="C37" s="7">
        <v>1</v>
      </c>
      <c r="D37" s="7">
        <v>1.4</v>
      </c>
      <c r="E37" s="7">
        <v>0</v>
      </c>
      <c r="F37" s="7">
        <v>1.9</v>
      </c>
      <c r="G37" s="7">
        <v>0.8</v>
      </c>
      <c r="H37" s="2"/>
    </row>
    <row r="38" spans="1:8" x14ac:dyDescent="0.3">
      <c r="A38" s="8">
        <v>37986</v>
      </c>
      <c r="B38" s="7">
        <v>3.2</v>
      </c>
      <c r="C38" s="7">
        <v>0.6</v>
      </c>
      <c r="D38" s="7">
        <v>1.9</v>
      </c>
      <c r="E38" s="7">
        <v>0</v>
      </c>
      <c r="F38" s="7">
        <v>3</v>
      </c>
      <c r="G38" s="7">
        <v>0.6</v>
      </c>
      <c r="H38" s="2"/>
    </row>
    <row r="39" spans="1:8" x14ac:dyDescent="0.3">
      <c r="A39" s="8">
        <v>38017</v>
      </c>
      <c r="B39" s="7">
        <v>3.2</v>
      </c>
      <c r="C39" s="7">
        <v>1.1000000000000001</v>
      </c>
      <c r="D39" s="7">
        <v>1.7</v>
      </c>
      <c r="E39" s="7">
        <v>0</v>
      </c>
      <c r="F39" s="7">
        <v>3.5</v>
      </c>
      <c r="G39" s="7">
        <v>1.3</v>
      </c>
      <c r="H39" s="2"/>
    </row>
    <row r="40" spans="1:8" x14ac:dyDescent="0.3">
      <c r="A40" s="8">
        <v>38046</v>
      </c>
      <c r="B40" s="7">
        <v>2.1</v>
      </c>
      <c r="C40" s="7">
        <v>-0.2</v>
      </c>
      <c r="D40" s="7">
        <v>0.9</v>
      </c>
      <c r="E40" s="7">
        <v>0</v>
      </c>
      <c r="F40" s="7">
        <v>3.5</v>
      </c>
      <c r="G40" s="7">
        <v>1.3</v>
      </c>
      <c r="H40" s="2"/>
    </row>
    <row r="41" spans="1:8" x14ac:dyDescent="0.3">
      <c r="A41" s="8">
        <v>38077</v>
      </c>
      <c r="B41" s="7">
        <v>3</v>
      </c>
      <c r="C41" s="7">
        <v>0.3</v>
      </c>
      <c r="D41" s="7">
        <v>1.7</v>
      </c>
      <c r="E41" s="7">
        <v>0</v>
      </c>
      <c r="F41" s="7">
        <v>4</v>
      </c>
      <c r="G41" s="7">
        <v>0.3</v>
      </c>
      <c r="H41" s="2"/>
    </row>
    <row r="42" spans="1:8" x14ac:dyDescent="0.3">
      <c r="A42" s="8">
        <v>38107</v>
      </c>
      <c r="B42" s="7">
        <v>3.8</v>
      </c>
      <c r="C42" s="7">
        <v>0.5</v>
      </c>
      <c r="D42" s="7">
        <v>2.6</v>
      </c>
      <c r="E42" s="7">
        <v>0</v>
      </c>
      <c r="F42" s="7">
        <v>5</v>
      </c>
      <c r="G42" s="7">
        <v>0.6</v>
      </c>
      <c r="H42" s="2"/>
    </row>
    <row r="43" spans="1:8" x14ac:dyDescent="0.3">
      <c r="A43" s="8">
        <v>38138</v>
      </c>
      <c r="B43" s="7">
        <v>4.4000000000000004</v>
      </c>
      <c r="C43" s="7">
        <v>-0.1</v>
      </c>
      <c r="D43" s="7">
        <v>3.3</v>
      </c>
      <c r="E43" s="7">
        <v>0</v>
      </c>
      <c r="F43" s="7">
        <v>5.7</v>
      </c>
      <c r="G43" s="7">
        <v>0.2</v>
      </c>
      <c r="H43" s="2"/>
    </row>
    <row r="44" spans="1:8" x14ac:dyDescent="0.3">
      <c r="A44" s="8">
        <v>38168</v>
      </c>
      <c r="B44" s="7">
        <v>5</v>
      </c>
      <c r="C44" s="7">
        <v>-0.7</v>
      </c>
      <c r="D44" s="7">
        <v>4.0999999999999996</v>
      </c>
      <c r="E44" s="7">
        <v>0</v>
      </c>
      <c r="F44" s="7">
        <v>6.4</v>
      </c>
      <c r="G44" s="7">
        <v>0.4</v>
      </c>
      <c r="H44" s="2"/>
    </row>
    <row r="45" spans="1:8" x14ac:dyDescent="0.3">
      <c r="A45" s="8">
        <v>38199</v>
      </c>
      <c r="B45" s="7">
        <v>5.3</v>
      </c>
      <c r="C45" s="7">
        <v>-0.2</v>
      </c>
      <c r="D45" s="7">
        <v>4.4000000000000004</v>
      </c>
      <c r="E45" s="7">
        <v>0</v>
      </c>
      <c r="F45" s="7">
        <v>6.4</v>
      </c>
      <c r="G45" s="7">
        <v>0.4</v>
      </c>
      <c r="H45" s="2"/>
    </row>
    <row r="46" spans="1:8" x14ac:dyDescent="0.3">
      <c r="A46" s="8">
        <v>38230</v>
      </c>
      <c r="B46" s="7">
        <v>5.3</v>
      </c>
      <c r="C46" s="7">
        <v>0.7</v>
      </c>
      <c r="D46" s="7">
        <v>4.4000000000000004</v>
      </c>
      <c r="E46" s="7">
        <v>0</v>
      </c>
      <c r="F46" s="7">
        <v>6.8</v>
      </c>
      <c r="G46" s="7">
        <v>0.6</v>
      </c>
      <c r="H46" s="2"/>
    </row>
    <row r="47" spans="1:8" x14ac:dyDescent="0.3">
      <c r="A47" s="8">
        <v>38260</v>
      </c>
      <c r="B47" s="7">
        <v>5.2</v>
      </c>
      <c r="C47" s="7">
        <v>1.1000000000000001</v>
      </c>
      <c r="D47" s="7">
        <v>4.3</v>
      </c>
      <c r="E47" s="7">
        <v>0</v>
      </c>
      <c r="F47" s="7">
        <v>7.9</v>
      </c>
      <c r="G47" s="7">
        <v>1.1000000000000001</v>
      </c>
      <c r="H47" s="2"/>
    </row>
    <row r="48" spans="1:8" x14ac:dyDescent="0.3">
      <c r="A48" s="8">
        <v>38291</v>
      </c>
      <c r="B48" s="7">
        <v>4.3</v>
      </c>
      <c r="C48" s="7">
        <v>0</v>
      </c>
      <c r="D48" s="7">
        <v>3.4</v>
      </c>
      <c r="E48" s="7">
        <v>0</v>
      </c>
      <c r="F48" s="7">
        <v>8.4</v>
      </c>
      <c r="G48" s="7">
        <v>0.8</v>
      </c>
      <c r="H48" s="2"/>
    </row>
    <row r="49" spans="1:8" x14ac:dyDescent="0.3">
      <c r="A49" s="8">
        <v>38321</v>
      </c>
      <c r="B49" s="7">
        <v>2.8</v>
      </c>
      <c r="C49" s="7">
        <v>-0.3</v>
      </c>
      <c r="D49" s="7">
        <v>1.9</v>
      </c>
      <c r="E49" s="7">
        <v>0</v>
      </c>
      <c r="F49" s="7">
        <v>8.1</v>
      </c>
      <c r="G49" s="7">
        <v>0.5</v>
      </c>
      <c r="H49" s="2"/>
    </row>
    <row r="50" spans="1:8" x14ac:dyDescent="0.3">
      <c r="A50" s="8">
        <v>38352</v>
      </c>
      <c r="B50" s="7">
        <v>2.4</v>
      </c>
      <c r="C50" s="7">
        <v>0.1</v>
      </c>
      <c r="D50" s="7">
        <v>1.3</v>
      </c>
      <c r="E50" s="7">
        <v>0</v>
      </c>
      <c r="F50" s="7">
        <v>7.1</v>
      </c>
      <c r="G50" s="7">
        <v>-0.4</v>
      </c>
      <c r="H50" s="2"/>
    </row>
    <row r="51" spans="1:8" x14ac:dyDescent="0.3">
      <c r="A51" s="8">
        <v>38383</v>
      </c>
      <c r="B51" s="7">
        <v>1.9</v>
      </c>
      <c r="C51" s="7">
        <v>0.6</v>
      </c>
      <c r="D51" s="7">
        <v>0.9</v>
      </c>
      <c r="E51" s="7">
        <v>0</v>
      </c>
      <c r="F51" s="7">
        <v>5.8</v>
      </c>
      <c r="G51" s="7">
        <v>0.1</v>
      </c>
      <c r="H51" s="2"/>
    </row>
    <row r="52" spans="1:8" x14ac:dyDescent="0.3">
      <c r="A52" s="8">
        <v>38411</v>
      </c>
      <c r="B52" s="7">
        <v>3.9</v>
      </c>
      <c r="C52" s="7">
        <v>1.8</v>
      </c>
      <c r="D52" s="7">
        <v>2.4</v>
      </c>
      <c r="E52" s="7">
        <v>0</v>
      </c>
      <c r="F52" s="7">
        <v>5.38</v>
      </c>
      <c r="G52" s="7">
        <v>0.7</v>
      </c>
      <c r="H52" s="2"/>
    </row>
    <row r="53" spans="1:8" x14ac:dyDescent="0.3">
      <c r="A53" s="8">
        <v>38442</v>
      </c>
      <c r="B53" s="7">
        <v>2.7</v>
      </c>
      <c r="C53" s="7">
        <v>-0.9</v>
      </c>
      <c r="D53" s="7">
        <v>1.4</v>
      </c>
      <c r="E53" s="7">
        <v>0</v>
      </c>
      <c r="F53" s="7">
        <v>5.6</v>
      </c>
      <c r="G53" s="7">
        <v>0.5</v>
      </c>
      <c r="H53" s="2"/>
    </row>
    <row r="54" spans="1:8" x14ac:dyDescent="0.3">
      <c r="A54" s="8">
        <v>38472</v>
      </c>
      <c r="B54" s="7">
        <v>1.8</v>
      </c>
      <c r="C54" s="7">
        <v>-0.3</v>
      </c>
      <c r="D54" s="7">
        <v>0.6</v>
      </c>
      <c r="E54" s="7">
        <v>0</v>
      </c>
      <c r="F54" s="7">
        <v>5.78</v>
      </c>
      <c r="G54" s="7">
        <v>1.1000000000000001</v>
      </c>
      <c r="H54" s="2"/>
    </row>
    <row r="55" spans="1:8" x14ac:dyDescent="0.3">
      <c r="A55" s="8">
        <v>38503</v>
      </c>
      <c r="B55" s="7">
        <v>1.8</v>
      </c>
      <c r="C55" s="7">
        <v>-0.2</v>
      </c>
      <c r="D55" s="7">
        <v>0.6</v>
      </c>
      <c r="E55" s="7">
        <v>0</v>
      </c>
      <c r="F55" s="7">
        <v>5.9</v>
      </c>
      <c r="G55" s="7">
        <v>0.2</v>
      </c>
      <c r="H55" s="2"/>
    </row>
    <row r="56" spans="1:8" x14ac:dyDescent="0.3">
      <c r="A56" s="8">
        <v>38533</v>
      </c>
      <c r="B56" s="7">
        <v>1.6</v>
      </c>
      <c r="C56" s="7">
        <v>-0.8</v>
      </c>
      <c r="D56" s="7">
        <v>0.5</v>
      </c>
      <c r="E56" s="7">
        <v>0</v>
      </c>
      <c r="F56" s="7">
        <v>5.2</v>
      </c>
      <c r="G56" s="7">
        <v>-0.4</v>
      </c>
      <c r="H56" s="2"/>
    </row>
    <row r="57" spans="1:8" x14ac:dyDescent="0.3">
      <c r="A57" s="8">
        <v>38564</v>
      </c>
      <c r="B57" s="7">
        <v>1.8</v>
      </c>
      <c r="C57" s="7">
        <v>0</v>
      </c>
      <c r="D57" s="7">
        <v>0.8</v>
      </c>
      <c r="E57" s="7">
        <v>0</v>
      </c>
      <c r="F57" s="7">
        <v>5.2</v>
      </c>
      <c r="G57" s="7">
        <v>0.2</v>
      </c>
      <c r="H57" s="2"/>
    </row>
    <row r="58" spans="1:8" x14ac:dyDescent="0.3">
      <c r="A58" s="8">
        <v>38595</v>
      </c>
      <c r="B58" s="7">
        <v>1.3</v>
      </c>
      <c r="C58" s="7">
        <v>0.2</v>
      </c>
      <c r="D58" s="7">
        <v>0.3</v>
      </c>
      <c r="E58" s="7">
        <v>0</v>
      </c>
      <c r="F58" s="7">
        <v>5.3</v>
      </c>
      <c r="G58" s="7">
        <v>0.7</v>
      </c>
      <c r="H58" s="2"/>
    </row>
    <row r="59" spans="1:8" x14ac:dyDescent="0.3">
      <c r="A59" s="8">
        <v>38625</v>
      </c>
      <c r="B59" s="7">
        <v>0.9</v>
      </c>
      <c r="C59" s="7">
        <v>0.7</v>
      </c>
      <c r="D59" s="7">
        <v>0</v>
      </c>
      <c r="E59" s="7">
        <v>0</v>
      </c>
      <c r="F59" s="7">
        <v>4.5</v>
      </c>
      <c r="G59" s="7">
        <v>0.3</v>
      </c>
      <c r="H59" s="2"/>
    </row>
    <row r="60" spans="1:8" x14ac:dyDescent="0.3">
      <c r="A60" s="8">
        <v>38656</v>
      </c>
      <c r="B60" s="7">
        <v>1.2</v>
      </c>
      <c r="C60" s="7">
        <v>0.4</v>
      </c>
      <c r="D60" s="7">
        <v>0.4</v>
      </c>
      <c r="E60" s="7">
        <v>0</v>
      </c>
      <c r="F60" s="7">
        <v>4</v>
      </c>
      <c r="G60" s="7">
        <v>0.3</v>
      </c>
      <c r="H60" s="2"/>
    </row>
    <row r="61" spans="1:8" x14ac:dyDescent="0.3">
      <c r="A61" s="8">
        <v>38686</v>
      </c>
      <c r="B61" s="7">
        <v>1.3</v>
      </c>
      <c r="C61" s="7">
        <v>-0.3</v>
      </c>
      <c r="D61" s="7">
        <v>0.6</v>
      </c>
      <c r="E61" s="7">
        <v>0</v>
      </c>
      <c r="F61" s="7">
        <v>3.2</v>
      </c>
      <c r="G61" s="7">
        <v>-0.2</v>
      </c>
      <c r="H61" s="2"/>
    </row>
    <row r="62" spans="1:8" x14ac:dyDescent="0.3">
      <c r="A62" s="8">
        <v>38717</v>
      </c>
      <c r="B62" s="7">
        <v>1.6</v>
      </c>
      <c r="C62" s="7">
        <v>0.4</v>
      </c>
      <c r="D62" s="7">
        <v>0.9</v>
      </c>
      <c r="E62" s="7">
        <v>0</v>
      </c>
      <c r="F62" s="7">
        <v>3.2</v>
      </c>
      <c r="G62" s="7">
        <v>-0.4</v>
      </c>
      <c r="H62" s="2"/>
    </row>
    <row r="63" spans="1:8" x14ac:dyDescent="0.3">
      <c r="A63" s="8">
        <v>38748</v>
      </c>
      <c r="B63" s="7">
        <v>1.9</v>
      </c>
      <c r="C63" s="7">
        <v>1.3</v>
      </c>
      <c r="D63" s="7">
        <v>1</v>
      </c>
      <c r="E63" s="7">
        <v>0</v>
      </c>
      <c r="F63" s="7">
        <v>3.05</v>
      </c>
      <c r="G63" s="7">
        <v>0</v>
      </c>
      <c r="H63" s="2"/>
    </row>
    <row r="64" spans="1:8" x14ac:dyDescent="0.3">
      <c r="A64" s="8">
        <v>38776</v>
      </c>
      <c r="B64" s="7">
        <v>0.9</v>
      </c>
      <c r="C64" s="7">
        <v>0.5</v>
      </c>
      <c r="D64" s="7">
        <v>0.4</v>
      </c>
      <c r="E64" s="7">
        <v>0</v>
      </c>
      <c r="F64" s="7">
        <v>3.01</v>
      </c>
      <c r="G64" s="7">
        <v>0.7</v>
      </c>
      <c r="H64" s="2"/>
    </row>
    <row r="65" spans="1:8" x14ac:dyDescent="0.3">
      <c r="A65" s="8">
        <v>38807</v>
      </c>
      <c r="B65" s="7">
        <v>0.8</v>
      </c>
      <c r="C65" s="7">
        <v>-1</v>
      </c>
      <c r="D65" s="7">
        <v>0.2</v>
      </c>
      <c r="E65" s="7">
        <v>0</v>
      </c>
      <c r="F65" s="7">
        <v>2.4900000000000002</v>
      </c>
      <c r="G65" s="7">
        <v>0</v>
      </c>
      <c r="H65" s="2"/>
    </row>
    <row r="66" spans="1:8" x14ac:dyDescent="0.3">
      <c r="A66" s="8">
        <v>38837</v>
      </c>
      <c r="B66" s="7">
        <v>1.2</v>
      </c>
      <c r="C66" s="7">
        <v>0.1</v>
      </c>
      <c r="D66" s="7">
        <v>0.6</v>
      </c>
      <c r="E66" s="7">
        <v>0</v>
      </c>
      <c r="F66" s="7">
        <v>1.87</v>
      </c>
      <c r="G66" s="7">
        <v>0.5</v>
      </c>
      <c r="H66" s="2"/>
    </row>
    <row r="67" spans="1:8" x14ac:dyDescent="0.3">
      <c r="A67" s="8">
        <v>38868</v>
      </c>
      <c r="B67" s="7">
        <v>1.4</v>
      </c>
      <c r="C67" s="7">
        <v>-0.2</v>
      </c>
      <c r="D67" s="7">
        <v>1</v>
      </c>
      <c r="E67" s="7">
        <v>0</v>
      </c>
      <c r="F67" s="7">
        <v>2.4300000000000002</v>
      </c>
      <c r="G67" s="7">
        <v>0.8</v>
      </c>
      <c r="H67" s="2"/>
    </row>
    <row r="68" spans="1:8" x14ac:dyDescent="0.3">
      <c r="A68" s="8">
        <v>38898</v>
      </c>
      <c r="B68" s="7">
        <v>1.5</v>
      </c>
      <c r="C68" s="7">
        <v>1.5</v>
      </c>
      <c r="D68" s="7">
        <v>1.3</v>
      </c>
      <c r="E68" s="7">
        <v>0</v>
      </c>
      <c r="F68" s="7">
        <v>3.52</v>
      </c>
      <c r="G68" s="7">
        <v>0.6</v>
      </c>
      <c r="H68" s="2"/>
    </row>
    <row r="69" spans="1:8" x14ac:dyDescent="0.3">
      <c r="A69" s="8">
        <v>38929</v>
      </c>
      <c r="B69" s="7">
        <v>1</v>
      </c>
      <c r="C69" s="7">
        <v>1</v>
      </c>
      <c r="D69" s="7">
        <v>0.7</v>
      </c>
      <c r="E69" s="7">
        <v>0</v>
      </c>
      <c r="F69" s="7">
        <v>3.58</v>
      </c>
      <c r="G69" s="7">
        <v>0.3</v>
      </c>
      <c r="H69" s="2"/>
    </row>
    <row r="70" spans="1:8" x14ac:dyDescent="0.3">
      <c r="A70" s="8">
        <v>38960</v>
      </c>
      <c r="B70" s="7">
        <v>1.3</v>
      </c>
      <c r="C70" s="7">
        <v>0.4</v>
      </c>
      <c r="D70" s="7">
        <v>0.9</v>
      </c>
      <c r="E70" s="7">
        <v>0</v>
      </c>
      <c r="F70" s="7">
        <v>3.4</v>
      </c>
      <c r="G70" s="7">
        <v>0.5</v>
      </c>
      <c r="H70" s="2"/>
    </row>
    <row r="71" spans="1:8" x14ac:dyDescent="0.3">
      <c r="A71" s="8">
        <v>38990</v>
      </c>
      <c r="B71" s="7">
        <v>1.5</v>
      </c>
      <c r="C71" s="7">
        <v>0.5</v>
      </c>
      <c r="D71" s="7">
        <v>1.2</v>
      </c>
      <c r="E71" s="7">
        <v>0</v>
      </c>
      <c r="F71" s="7">
        <v>3.5</v>
      </c>
      <c r="G71" s="7">
        <v>-0.1</v>
      </c>
      <c r="H71" s="2"/>
    </row>
    <row r="72" spans="1:8" x14ac:dyDescent="0.3">
      <c r="A72" s="8">
        <v>39021</v>
      </c>
      <c r="B72" s="7">
        <v>1.4</v>
      </c>
      <c r="C72" s="7">
        <v>0.1</v>
      </c>
      <c r="D72" s="7">
        <v>1.1000000000000001</v>
      </c>
      <c r="E72" s="7">
        <v>0</v>
      </c>
      <c r="F72" s="7">
        <v>2.9</v>
      </c>
      <c r="G72" s="7">
        <v>0.2</v>
      </c>
      <c r="H72" s="2"/>
    </row>
    <row r="73" spans="1:8" x14ac:dyDescent="0.3">
      <c r="A73" s="8">
        <v>39051</v>
      </c>
      <c r="B73" s="7">
        <v>1.9</v>
      </c>
      <c r="C73" s="7">
        <v>0.3</v>
      </c>
      <c r="D73" s="7">
        <v>1.5</v>
      </c>
      <c r="E73" s="7">
        <v>0</v>
      </c>
      <c r="F73" s="7">
        <v>2.78</v>
      </c>
      <c r="G73" s="7">
        <v>-0.3</v>
      </c>
      <c r="H73" s="2"/>
    </row>
    <row r="74" spans="1:8" x14ac:dyDescent="0.3">
      <c r="A74" s="8">
        <v>39082</v>
      </c>
      <c r="B74" s="7">
        <v>2.8</v>
      </c>
      <c r="C74" s="7">
        <v>1.4</v>
      </c>
      <c r="D74" s="7">
        <v>2.4</v>
      </c>
      <c r="E74" s="7">
        <v>0</v>
      </c>
      <c r="F74" s="7">
        <v>3.1</v>
      </c>
      <c r="G74" s="7">
        <v>0</v>
      </c>
      <c r="H74" s="2"/>
    </row>
    <row r="75" spans="1:8" x14ac:dyDescent="0.3">
      <c r="A75" s="8">
        <v>39113</v>
      </c>
      <c r="B75" s="7">
        <v>2.2000000000000002</v>
      </c>
      <c r="C75" s="7">
        <v>0.7</v>
      </c>
      <c r="D75" s="7">
        <v>1.8</v>
      </c>
      <c r="E75" s="7">
        <v>0</v>
      </c>
      <c r="F75" s="7">
        <v>3.3</v>
      </c>
      <c r="G75" s="7">
        <v>0.2</v>
      </c>
      <c r="H75" s="2"/>
    </row>
    <row r="76" spans="1:8" x14ac:dyDescent="0.3">
      <c r="A76" s="8">
        <v>39141</v>
      </c>
      <c r="B76" s="7">
        <v>2.7</v>
      </c>
      <c r="C76" s="7">
        <v>1</v>
      </c>
      <c r="D76" s="7">
        <v>1.9</v>
      </c>
      <c r="E76" s="7">
        <v>0</v>
      </c>
      <c r="F76" s="7">
        <v>2.6</v>
      </c>
      <c r="G76" s="7">
        <v>0</v>
      </c>
      <c r="H76" s="2"/>
    </row>
    <row r="77" spans="1:8" x14ac:dyDescent="0.3">
      <c r="A77" s="8">
        <v>39172</v>
      </c>
      <c r="B77" s="7">
        <v>3.3</v>
      </c>
      <c r="C77" s="7">
        <v>-0.3</v>
      </c>
      <c r="D77" s="7">
        <v>2.5</v>
      </c>
      <c r="E77" s="7">
        <v>0</v>
      </c>
      <c r="F77" s="7">
        <v>2.7</v>
      </c>
      <c r="G77" s="7">
        <v>0.1</v>
      </c>
      <c r="H77" s="2"/>
    </row>
    <row r="78" spans="1:8" x14ac:dyDescent="0.3">
      <c r="A78" s="8">
        <v>39202</v>
      </c>
      <c r="B78" s="7">
        <v>3</v>
      </c>
      <c r="C78" s="7">
        <v>-0.1</v>
      </c>
      <c r="D78" s="7">
        <v>2.2000000000000002</v>
      </c>
      <c r="E78" s="7">
        <v>0</v>
      </c>
      <c r="F78" s="7">
        <v>2.9</v>
      </c>
      <c r="G78" s="7">
        <v>0.7</v>
      </c>
      <c r="H78" s="2"/>
    </row>
    <row r="79" spans="1:8" x14ac:dyDescent="0.3">
      <c r="A79" s="8">
        <v>39233</v>
      </c>
      <c r="B79" s="7">
        <v>3.4</v>
      </c>
      <c r="C79" s="7">
        <v>0.3</v>
      </c>
      <c r="D79" s="7">
        <v>2.4</v>
      </c>
      <c r="E79" s="7">
        <v>0</v>
      </c>
      <c r="F79" s="7">
        <v>2.8</v>
      </c>
      <c r="G79" s="7">
        <v>0.7</v>
      </c>
      <c r="H79" s="2"/>
    </row>
    <row r="80" spans="1:8" x14ac:dyDescent="0.3">
      <c r="A80" s="8">
        <v>39263</v>
      </c>
      <c r="B80" s="7">
        <v>4.4000000000000004</v>
      </c>
      <c r="C80" s="7">
        <v>0.4</v>
      </c>
      <c r="D80" s="7">
        <v>3.2</v>
      </c>
      <c r="E80" s="7">
        <v>0</v>
      </c>
      <c r="F80" s="7">
        <v>2.4900000000000002</v>
      </c>
      <c r="G80" s="7">
        <v>0.3</v>
      </c>
      <c r="H80" s="2"/>
    </row>
    <row r="81" spans="1:8" x14ac:dyDescent="0.3">
      <c r="A81" s="8">
        <v>39294</v>
      </c>
      <c r="B81" s="7">
        <v>5.6</v>
      </c>
      <c r="C81" s="7">
        <v>0.9</v>
      </c>
      <c r="D81" s="7">
        <v>4.4000000000000004</v>
      </c>
      <c r="E81" s="7">
        <v>0</v>
      </c>
      <c r="F81" s="7">
        <v>2.4</v>
      </c>
      <c r="G81" s="7">
        <v>0.2</v>
      </c>
      <c r="H81" s="2"/>
    </row>
    <row r="82" spans="1:8" x14ac:dyDescent="0.3">
      <c r="A82" s="8">
        <v>39325</v>
      </c>
      <c r="B82" s="7">
        <v>6.5</v>
      </c>
      <c r="C82" s="7">
        <v>1.2</v>
      </c>
      <c r="D82" s="7">
        <v>5.2</v>
      </c>
      <c r="E82" s="7">
        <v>0</v>
      </c>
      <c r="F82" s="7">
        <v>2.6</v>
      </c>
      <c r="G82" s="7">
        <v>0.7</v>
      </c>
      <c r="H82" s="2"/>
    </row>
    <row r="83" spans="1:8" x14ac:dyDescent="0.3">
      <c r="A83" s="8">
        <v>39355</v>
      </c>
      <c r="B83" s="7">
        <v>6.2</v>
      </c>
      <c r="C83" s="7">
        <v>0.3</v>
      </c>
      <c r="D83" s="7">
        <v>4.9000000000000004</v>
      </c>
      <c r="E83" s="7">
        <v>0</v>
      </c>
      <c r="F83" s="7">
        <v>2.7</v>
      </c>
      <c r="G83" s="7">
        <v>0</v>
      </c>
      <c r="H83" s="2"/>
    </row>
    <row r="84" spans="1:8" x14ac:dyDescent="0.3">
      <c r="A84" s="8">
        <v>39386</v>
      </c>
      <c r="B84" s="7">
        <v>6.5</v>
      </c>
      <c r="C84" s="7">
        <v>0.3</v>
      </c>
      <c r="D84" s="7">
        <v>5.3</v>
      </c>
      <c r="E84" s="7">
        <v>0</v>
      </c>
      <c r="F84" s="7">
        <v>3.2</v>
      </c>
      <c r="G84" s="7">
        <v>0.7</v>
      </c>
      <c r="H84" s="2"/>
    </row>
    <row r="85" spans="1:8" x14ac:dyDescent="0.3">
      <c r="A85" s="8">
        <v>39416</v>
      </c>
      <c r="B85" s="7">
        <v>6.9</v>
      </c>
      <c r="C85" s="7">
        <v>0.7</v>
      </c>
      <c r="D85" s="7">
        <v>6</v>
      </c>
      <c r="E85" s="7">
        <v>0</v>
      </c>
      <c r="F85" s="7">
        <v>4.55</v>
      </c>
      <c r="G85" s="7">
        <v>1</v>
      </c>
      <c r="H85" s="2"/>
    </row>
    <row r="86" spans="1:8" x14ac:dyDescent="0.3">
      <c r="A86" s="8">
        <v>39447</v>
      </c>
      <c r="B86" s="7">
        <v>6.5</v>
      </c>
      <c r="C86" s="7">
        <v>1</v>
      </c>
      <c r="D86" s="7">
        <v>5.6</v>
      </c>
      <c r="E86" s="7">
        <v>0</v>
      </c>
      <c r="F86" s="7">
        <v>5.43</v>
      </c>
      <c r="G86" s="7">
        <v>0.8</v>
      </c>
      <c r="H86" s="2"/>
    </row>
    <row r="87" spans="1:8" x14ac:dyDescent="0.3">
      <c r="A87" s="8">
        <v>39478</v>
      </c>
      <c r="B87" s="7">
        <v>7.1</v>
      </c>
      <c r="C87" s="7">
        <v>1.2</v>
      </c>
      <c r="D87" s="7">
        <v>6.2</v>
      </c>
      <c r="E87" s="7">
        <v>0</v>
      </c>
      <c r="F87" s="7">
        <v>6.1</v>
      </c>
      <c r="G87" s="7">
        <v>0.8</v>
      </c>
      <c r="H87" s="2"/>
    </row>
    <row r="88" spans="1:8" x14ac:dyDescent="0.3">
      <c r="A88" s="8">
        <v>39507</v>
      </c>
      <c r="B88" s="7">
        <v>8.6999999999999993</v>
      </c>
      <c r="C88" s="7">
        <v>2.6</v>
      </c>
      <c r="D88" s="7">
        <v>8.1</v>
      </c>
      <c r="E88" s="7">
        <v>0</v>
      </c>
      <c r="F88" s="7">
        <v>6.62</v>
      </c>
      <c r="G88" s="7">
        <v>0.5</v>
      </c>
      <c r="H88" s="2"/>
    </row>
    <row r="89" spans="1:8" x14ac:dyDescent="0.3">
      <c r="A89" s="8">
        <v>39538</v>
      </c>
      <c r="B89" s="7">
        <v>8.3000000000000007</v>
      </c>
      <c r="C89" s="7">
        <v>-0.7</v>
      </c>
      <c r="D89" s="7">
        <v>7.8</v>
      </c>
      <c r="E89" s="7">
        <v>0</v>
      </c>
      <c r="F89" s="7">
        <v>7.95</v>
      </c>
      <c r="G89" s="7">
        <v>1.3</v>
      </c>
      <c r="H89" s="2"/>
    </row>
    <row r="90" spans="1:8" x14ac:dyDescent="0.3">
      <c r="A90" s="8">
        <v>39568</v>
      </c>
      <c r="B90" s="7">
        <v>8.5</v>
      </c>
      <c r="C90" s="7">
        <v>0.1</v>
      </c>
      <c r="D90" s="7">
        <v>8.1</v>
      </c>
      <c r="E90" s="7">
        <v>0</v>
      </c>
      <c r="F90" s="7">
        <v>8.1199999999999992</v>
      </c>
      <c r="G90" s="7">
        <v>0.8</v>
      </c>
      <c r="H90" s="2"/>
    </row>
    <row r="91" spans="1:8" x14ac:dyDescent="0.3">
      <c r="A91" s="8">
        <v>39599</v>
      </c>
      <c r="B91" s="7">
        <v>7.7</v>
      </c>
      <c r="C91" s="7">
        <v>-0.4</v>
      </c>
      <c r="D91" s="7">
        <v>7.5</v>
      </c>
      <c r="E91" s="7">
        <v>0</v>
      </c>
      <c r="F91" s="7">
        <v>8.2200000000000006</v>
      </c>
      <c r="G91" s="7">
        <v>0.8</v>
      </c>
      <c r="H91" s="2"/>
    </row>
    <row r="92" spans="1:8" x14ac:dyDescent="0.3">
      <c r="A92" s="8">
        <v>39629</v>
      </c>
      <c r="B92" s="7">
        <v>7.1</v>
      </c>
      <c r="C92" s="7">
        <v>-0.2</v>
      </c>
      <c r="D92" s="7">
        <v>7.1</v>
      </c>
      <c r="E92" s="7">
        <v>0</v>
      </c>
      <c r="F92" s="7">
        <v>8.84</v>
      </c>
      <c r="G92" s="7">
        <v>1</v>
      </c>
      <c r="H92" s="2"/>
    </row>
    <row r="93" spans="1:8" x14ac:dyDescent="0.3">
      <c r="A93" s="8">
        <v>39660</v>
      </c>
      <c r="B93" s="7">
        <v>6.3</v>
      </c>
      <c r="C93" s="7">
        <v>0.1</v>
      </c>
      <c r="D93" s="7">
        <v>6.8</v>
      </c>
      <c r="E93" s="7">
        <v>0</v>
      </c>
      <c r="F93" s="7">
        <v>10.029999999999999</v>
      </c>
      <c r="G93" s="7">
        <v>1.3</v>
      </c>
      <c r="H93" s="2"/>
    </row>
    <row r="94" spans="1:8" x14ac:dyDescent="0.3">
      <c r="A94" s="8">
        <v>39691</v>
      </c>
      <c r="B94" s="7">
        <v>4.9000000000000004</v>
      </c>
      <c r="C94" s="7">
        <v>-0.1</v>
      </c>
      <c r="D94" s="7">
        <v>5.5</v>
      </c>
      <c r="E94" s="7">
        <v>0</v>
      </c>
      <c r="F94" s="7">
        <v>10.06</v>
      </c>
      <c r="G94" s="7">
        <v>0.7</v>
      </c>
      <c r="H94" s="2"/>
    </row>
    <row r="95" spans="1:8" x14ac:dyDescent="0.3">
      <c r="A95" s="8">
        <v>39721</v>
      </c>
      <c r="B95" s="7">
        <v>4.5999999999999996</v>
      </c>
      <c r="C95" s="7">
        <v>0</v>
      </c>
      <c r="D95" s="7">
        <v>5.3</v>
      </c>
      <c r="E95" s="7">
        <v>0</v>
      </c>
      <c r="F95" s="7">
        <v>9.1300000000000008</v>
      </c>
      <c r="G95" s="7">
        <v>-0.8</v>
      </c>
      <c r="H95" s="2"/>
    </row>
    <row r="96" spans="1:8" x14ac:dyDescent="0.3">
      <c r="A96" s="8">
        <v>39752</v>
      </c>
      <c r="B96" s="7">
        <v>4</v>
      </c>
      <c r="C96" s="7">
        <v>-0.3</v>
      </c>
      <c r="D96" s="7">
        <v>4.5999999999999996</v>
      </c>
      <c r="E96" s="7">
        <v>0</v>
      </c>
      <c r="F96" s="7">
        <v>6.59</v>
      </c>
      <c r="G96" s="7">
        <v>-1.6</v>
      </c>
      <c r="H96" s="2"/>
    </row>
    <row r="97" spans="1:8" x14ac:dyDescent="0.3">
      <c r="A97" s="8">
        <v>39782</v>
      </c>
      <c r="B97" s="7">
        <v>2.4</v>
      </c>
      <c r="C97" s="7">
        <v>-0.8</v>
      </c>
      <c r="D97" s="7">
        <v>2.7</v>
      </c>
      <c r="E97" s="7">
        <v>0</v>
      </c>
      <c r="F97" s="7">
        <v>1.99</v>
      </c>
      <c r="G97" s="7">
        <v>-3.4</v>
      </c>
      <c r="H97" s="2"/>
    </row>
    <row r="98" spans="1:8" x14ac:dyDescent="0.3">
      <c r="A98" s="8">
        <v>39813</v>
      </c>
      <c r="B98" s="7">
        <v>1.2</v>
      </c>
      <c r="C98" s="7">
        <v>-0.2</v>
      </c>
      <c r="D98" s="7">
        <v>1.4</v>
      </c>
      <c r="E98" s="7">
        <v>0</v>
      </c>
      <c r="F98" s="7">
        <v>-1.1399999999999999</v>
      </c>
      <c r="G98" s="7">
        <v>-2.2999999999999998</v>
      </c>
      <c r="H98" s="2"/>
    </row>
    <row r="99" spans="1:8" x14ac:dyDescent="0.3">
      <c r="A99" s="8">
        <v>39844</v>
      </c>
      <c r="B99" s="7">
        <v>1</v>
      </c>
      <c r="C99" s="7">
        <v>0.9</v>
      </c>
      <c r="D99" s="7">
        <v>0.7</v>
      </c>
      <c r="E99" s="7">
        <v>0</v>
      </c>
      <c r="F99" s="7">
        <v>-3.35</v>
      </c>
      <c r="G99" s="7">
        <v>-1.4</v>
      </c>
      <c r="H99" s="2"/>
    </row>
    <row r="100" spans="1:8" x14ac:dyDescent="0.3">
      <c r="A100" s="8">
        <v>39872</v>
      </c>
      <c r="B100" s="7">
        <v>-1.6</v>
      </c>
      <c r="C100" s="7">
        <v>0</v>
      </c>
      <c r="D100" s="7">
        <v>-1.6</v>
      </c>
      <c r="E100" s="7">
        <v>0</v>
      </c>
      <c r="F100" s="7">
        <v>-4.47</v>
      </c>
      <c r="G100" s="7">
        <v>-0.7</v>
      </c>
      <c r="H100" s="2"/>
    </row>
    <row r="101" spans="1:8" x14ac:dyDescent="0.3">
      <c r="A101" s="8">
        <v>39903</v>
      </c>
      <c r="B101" s="7">
        <v>-1.2</v>
      </c>
      <c r="C101" s="7">
        <v>-0.3</v>
      </c>
      <c r="D101" s="7">
        <v>-1.5</v>
      </c>
      <c r="E101" s="7">
        <v>0</v>
      </c>
      <c r="F101" s="7">
        <v>-6</v>
      </c>
      <c r="G101" s="7">
        <v>-0.3</v>
      </c>
      <c r="H101" s="2"/>
    </row>
    <row r="102" spans="1:8" x14ac:dyDescent="0.3">
      <c r="A102" s="8">
        <v>39933</v>
      </c>
      <c r="B102" s="7">
        <v>-1.5</v>
      </c>
      <c r="C102" s="7">
        <v>-0.2</v>
      </c>
      <c r="D102" s="7">
        <v>-1.9</v>
      </c>
      <c r="E102" s="7">
        <v>0</v>
      </c>
      <c r="F102" s="7">
        <v>-6.6</v>
      </c>
      <c r="G102" s="7">
        <v>0.2</v>
      </c>
      <c r="H102" s="2"/>
    </row>
    <row r="103" spans="1:8" x14ac:dyDescent="0.3">
      <c r="A103" s="8">
        <v>39964</v>
      </c>
      <c r="B103" s="7">
        <v>-1.4</v>
      </c>
      <c r="C103" s="7">
        <v>-0.3</v>
      </c>
      <c r="D103" s="7">
        <v>-1.9</v>
      </c>
      <c r="E103" s="7">
        <v>0</v>
      </c>
      <c r="F103" s="7">
        <v>-7.2</v>
      </c>
      <c r="G103" s="7">
        <v>0.1</v>
      </c>
      <c r="H103" s="2"/>
    </row>
    <row r="104" spans="1:8" x14ac:dyDescent="0.3">
      <c r="A104" s="8">
        <v>39994</v>
      </c>
      <c r="B104" s="7">
        <v>-1.7</v>
      </c>
      <c r="C104" s="7">
        <v>-0.5</v>
      </c>
      <c r="D104" s="7">
        <v>-2.2999999999999998</v>
      </c>
      <c r="E104" s="7">
        <v>0</v>
      </c>
      <c r="F104" s="7">
        <v>-7.8</v>
      </c>
      <c r="G104" s="7">
        <v>0.3</v>
      </c>
      <c r="H104" s="2"/>
    </row>
    <row r="105" spans="1:8" x14ac:dyDescent="0.3">
      <c r="A105" s="8">
        <v>40025</v>
      </c>
      <c r="B105" s="7">
        <v>-1.8</v>
      </c>
      <c r="C105" s="7">
        <v>0</v>
      </c>
      <c r="D105" s="7">
        <v>-2.5</v>
      </c>
      <c r="E105" s="7">
        <v>0</v>
      </c>
      <c r="F105" s="7">
        <v>-8.1999999999999993</v>
      </c>
      <c r="G105" s="7">
        <v>1</v>
      </c>
      <c r="H105" s="2"/>
    </row>
    <row r="106" spans="1:8" x14ac:dyDescent="0.3">
      <c r="A106" s="8">
        <v>40056</v>
      </c>
      <c r="B106" s="7">
        <v>-1.2</v>
      </c>
      <c r="C106" s="7">
        <v>0.5</v>
      </c>
      <c r="D106" s="7">
        <v>-2</v>
      </c>
      <c r="E106" s="7">
        <v>0</v>
      </c>
      <c r="F106" s="7">
        <v>-7.86</v>
      </c>
      <c r="G106" s="7">
        <v>0.8</v>
      </c>
      <c r="H106" s="2"/>
    </row>
    <row r="107" spans="1:8" x14ac:dyDescent="0.3">
      <c r="A107" s="8">
        <v>40086</v>
      </c>
      <c r="B107" s="7">
        <v>-0.8</v>
      </c>
      <c r="C107" s="7">
        <v>0.4</v>
      </c>
      <c r="D107" s="7">
        <v>-1.5</v>
      </c>
      <c r="E107" s="7">
        <v>0</v>
      </c>
      <c r="F107" s="7">
        <v>-6.99</v>
      </c>
      <c r="G107" s="7">
        <v>0.6</v>
      </c>
      <c r="H107" s="2"/>
    </row>
    <row r="108" spans="1:8" x14ac:dyDescent="0.3">
      <c r="A108" s="8">
        <v>40117</v>
      </c>
      <c r="B108" s="7">
        <v>-0.5</v>
      </c>
      <c r="C108" s="7">
        <v>-0.1</v>
      </c>
      <c r="D108" s="7">
        <v>-1.3</v>
      </c>
      <c r="E108" s="7">
        <v>0</v>
      </c>
      <c r="F108" s="7">
        <v>-5.85</v>
      </c>
      <c r="G108" s="7">
        <v>0.1</v>
      </c>
      <c r="H108" s="2"/>
    </row>
    <row r="109" spans="1:8" x14ac:dyDescent="0.3">
      <c r="A109" s="8">
        <v>40147</v>
      </c>
      <c r="B109" s="7">
        <v>0.6</v>
      </c>
      <c r="C109" s="7">
        <v>0.3</v>
      </c>
      <c r="D109" s="7">
        <v>0</v>
      </c>
      <c r="E109" s="7">
        <v>0</v>
      </c>
      <c r="F109" s="7">
        <v>-2.08</v>
      </c>
      <c r="G109" s="7">
        <v>0.6</v>
      </c>
      <c r="H109" s="2"/>
    </row>
    <row r="110" spans="1:8" x14ac:dyDescent="0.3">
      <c r="A110" s="8">
        <v>40178</v>
      </c>
      <c r="B110" s="7">
        <v>1.9</v>
      </c>
      <c r="C110" s="7">
        <v>1</v>
      </c>
      <c r="D110" s="7">
        <v>1.4</v>
      </c>
      <c r="E110" s="7">
        <v>0</v>
      </c>
      <c r="F110" s="7">
        <v>1.7</v>
      </c>
      <c r="G110" s="7">
        <v>1</v>
      </c>
      <c r="H110" s="2"/>
    </row>
    <row r="111" spans="1:8" x14ac:dyDescent="0.3">
      <c r="A111" s="8">
        <v>40209</v>
      </c>
      <c r="B111" s="7">
        <v>1.5</v>
      </c>
      <c r="C111" s="7">
        <v>0.6</v>
      </c>
      <c r="D111" s="7">
        <v>1.8</v>
      </c>
      <c r="E111" s="7">
        <v>0</v>
      </c>
      <c r="F111" s="7">
        <v>4.32</v>
      </c>
      <c r="G111" s="7">
        <v>0.5</v>
      </c>
      <c r="H111" s="2"/>
    </row>
    <row r="112" spans="1:8" x14ac:dyDescent="0.3">
      <c r="A112" s="8">
        <v>40237</v>
      </c>
      <c r="B112" s="7">
        <v>2.7</v>
      </c>
      <c r="C112" s="7">
        <v>1.2</v>
      </c>
      <c r="D112" s="7">
        <v>2.5</v>
      </c>
      <c r="E112" s="7">
        <v>0.8</v>
      </c>
      <c r="F112" s="7">
        <v>5.39</v>
      </c>
      <c r="G112" s="7">
        <v>0.4</v>
      </c>
      <c r="H112" s="2"/>
    </row>
    <row r="113" spans="1:8" x14ac:dyDescent="0.3">
      <c r="A113" s="8">
        <v>40268</v>
      </c>
      <c r="B113" s="7">
        <v>2.4</v>
      </c>
      <c r="C113" s="7">
        <v>-0.7</v>
      </c>
      <c r="D113" s="7">
        <v>2.2999999999999998</v>
      </c>
      <c r="E113" s="7">
        <v>-0.5</v>
      </c>
      <c r="F113" s="7">
        <v>5.91</v>
      </c>
      <c r="G113" s="7">
        <v>0.5</v>
      </c>
      <c r="H113" s="2"/>
    </row>
    <row r="114" spans="1:8" x14ac:dyDescent="0.3">
      <c r="A114" s="8">
        <v>40298</v>
      </c>
      <c r="B114" s="7">
        <v>2.8</v>
      </c>
      <c r="C114" s="7">
        <v>0.2</v>
      </c>
      <c r="D114" s="7">
        <v>2.8</v>
      </c>
      <c r="E114" s="7">
        <v>0.15</v>
      </c>
      <c r="F114" s="7">
        <v>6.81</v>
      </c>
      <c r="G114" s="7">
        <v>1</v>
      </c>
      <c r="H114" s="2"/>
    </row>
    <row r="115" spans="1:8" x14ac:dyDescent="0.3">
      <c r="A115" s="8">
        <v>40329</v>
      </c>
      <c r="B115" s="7">
        <v>3.1</v>
      </c>
      <c r="C115" s="7">
        <v>-0.1</v>
      </c>
      <c r="D115" s="7">
        <v>3.1</v>
      </c>
      <c r="E115" s="7">
        <v>-7.0000000000000007E-2</v>
      </c>
      <c r="F115" s="7">
        <v>7.13</v>
      </c>
      <c r="G115" s="7">
        <v>0.6</v>
      </c>
      <c r="H115" s="2"/>
    </row>
    <row r="116" spans="1:8" x14ac:dyDescent="0.3">
      <c r="A116" s="8">
        <v>40359</v>
      </c>
      <c r="B116" s="7">
        <v>2.9</v>
      </c>
      <c r="C116" s="7">
        <v>-0.6</v>
      </c>
      <c r="D116" s="7">
        <v>2.7</v>
      </c>
      <c r="E116" s="7">
        <v>-0.7</v>
      </c>
      <c r="F116" s="7">
        <v>6.41</v>
      </c>
      <c r="G116" s="7">
        <v>-0.3</v>
      </c>
      <c r="H116" s="2"/>
    </row>
    <row r="117" spans="1:8" x14ac:dyDescent="0.3">
      <c r="A117" s="8">
        <v>40390</v>
      </c>
      <c r="B117" s="7">
        <v>3.3</v>
      </c>
      <c r="C117" s="7">
        <v>0.4</v>
      </c>
      <c r="D117" s="7">
        <v>2.8</v>
      </c>
      <c r="E117" s="7">
        <v>0.1</v>
      </c>
      <c r="F117" s="7">
        <v>4.84</v>
      </c>
      <c r="G117" s="7">
        <v>-0.4</v>
      </c>
      <c r="H117" s="2"/>
    </row>
    <row r="118" spans="1:8" x14ac:dyDescent="0.3">
      <c r="A118" s="8">
        <v>40421</v>
      </c>
      <c r="B118" s="7">
        <v>3.5</v>
      </c>
      <c r="C118" s="7">
        <v>0.6</v>
      </c>
      <c r="D118" s="7">
        <v>3</v>
      </c>
      <c r="E118" s="7">
        <v>0.56999999999999995</v>
      </c>
      <c r="F118" s="7">
        <v>4.32</v>
      </c>
      <c r="G118" s="7">
        <v>0.4</v>
      </c>
      <c r="H118" s="2"/>
    </row>
    <row r="119" spans="1:8" x14ac:dyDescent="0.3">
      <c r="A119" s="8">
        <v>40451</v>
      </c>
      <c r="B119" s="7">
        <v>3.6</v>
      </c>
      <c r="C119" s="7">
        <v>0.6</v>
      </c>
      <c r="D119" s="7">
        <v>3</v>
      </c>
      <c r="E119" s="7">
        <v>0.49</v>
      </c>
      <c r="F119" s="7">
        <v>4.33</v>
      </c>
      <c r="G119" s="7">
        <v>0.6</v>
      </c>
      <c r="H119" s="2"/>
    </row>
    <row r="120" spans="1:8" x14ac:dyDescent="0.3">
      <c r="A120" s="8">
        <v>40482</v>
      </c>
      <c r="B120" s="7">
        <v>4.4000000000000004</v>
      </c>
      <c r="C120" s="7">
        <v>0.7</v>
      </c>
      <c r="D120" s="7">
        <v>3.9</v>
      </c>
      <c r="E120" s="7">
        <v>0.62</v>
      </c>
      <c r="F120" s="7">
        <v>5.04</v>
      </c>
      <c r="G120" s="7">
        <v>0.7</v>
      </c>
      <c r="H120" s="2"/>
    </row>
    <row r="121" spans="1:8" x14ac:dyDescent="0.3">
      <c r="A121" s="8">
        <v>40512</v>
      </c>
      <c r="B121" s="7">
        <v>5.0999999999999996</v>
      </c>
      <c r="C121" s="7">
        <v>1.1000000000000001</v>
      </c>
      <c r="D121" s="7">
        <v>4.7</v>
      </c>
      <c r="E121" s="7">
        <v>1.35</v>
      </c>
      <c r="F121" s="7">
        <v>6.06</v>
      </c>
      <c r="G121" s="7">
        <v>1.4</v>
      </c>
      <c r="H121" s="2"/>
    </row>
    <row r="122" spans="1:8" x14ac:dyDescent="0.3">
      <c r="A122" s="8">
        <v>40543</v>
      </c>
      <c r="B122" s="7">
        <v>4.5999999999999996</v>
      </c>
      <c r="C122" s="7">
        <v>0.5</v>
      </c>
      <c r="D122" s="7">
        <v>4.0999999999999996</v>
      </c>
      <c r="E122" s="7">
        <v>0.59</v>
      </c>
      <c r="F122" s="7">
        <v>5.93</v>
      </c>
      <c r="G122" s="7">
        <v>0.7</v>
      </c>
      <c r="H122" s="2"/>
    </row>
    <row r="123" spans="1:8" x14ac:dyDescent="0.3">
      <c r="A123" s="8">
        <v>40574</v>
      </c>
      <c r="B123" s="7">
        <v>4.9000000000000004</v>
      </c>
      <c r="C123" s="7">
        <v>1</v>
      </c>
      <c r="D123" s="7">
        <v>3.7</v>
      </c>
      <c r="E123" s="7">
        <v>0.94</v>
      </c>
      <c r="F123" s="7">
        <v>6.6</v>
      </c>
      <c r="G123" s="7">
        <v>0.87</v>
      </c>
      <c r="H123" s="2"/>
    </row>
    <row r="124" spans="1:8" x14ac:dyDescent="0.3">
      <c r="A124" s="8">
        <v>40602</v>
      </c>
      <c r="B124" s="7">
        <v>4.944</v>
      </c>
      <c r="C124" s="7">
        <v>1.2350000000000001</v>
      </c>
      <c r="D124" s="7">
        <v>4.3</v>
      </c>
      <c r="E124" s="7">
        <v>1.19</v>
      </c>
      <c r="F124" s="7">
        <v>7.23</v>
      </c>
      <c r="G124" s="7">
        <v>0.85</v>
      </c>
      <c r="H124" s="2"/>
    </row>
    <row r="125" spans="1:8" x14ac:dyDescent="0.3">
      <c r="A125" s="8">
        <v>40633</v>
      </c>
      <c r="B125" s="7">
        <v>5.383</v>
      </c>
      <c r="C125" s="7">
        <v>-0.20699999999999999</v>
      </c>
      <c r="D125" s="7">
        <v>4.5999999999999996</v>
      </c>
      <c r="E125" s="7">
        <v>-0.25</v>
      </c>
      <c r="F125" s="7">
        <v>7.31</v>
      </c>
      <c r="G125" s="7">
        <v>0.62</v>
      </c>
      <c r="H125" s="2"/>
    </row>
    <row r="126" spans="1:8" x14ac:dyDescent="0.3">
      <c r="A126" s="8">
        <v>40663</v>
      </c>
      <c r="B126" s="7">
        <v>5.3440000000000003</v>
      </c>
      <c r="C126" s="7">
        <v>0.13800000000000001</v>
      </c>
      <c r="D126" s="7">
        <v>4.7</v>
      </c>
      <c r="E126" s="7">
        <v>0.2</v>
      </c>
      <c r="F126" s="7">
        <v>6.82</v>
      </c>
      <c r="G126" s="7">
        <v>0.55000000000000004</v>
      </c>
      <c r="H126" s="2"/>
    </row>
    <row r="127" spans="1:8" x14ac:dyDescent="0.3">
      <c r="A127" s="8">
        <v>40694</v>
      </c>
      <c r="B127" s="7">
        <v>5.5149999999999997</v>
      </c>
      <c r="C127" s="7">
        <v>7.3999999999999996E-2</v>
      </c>
      <c r="D127" s="7">
        <v>4.9000000000000004</v>
      </c>
      <c r="E127" s="7">
        <v>0.1</v>
      </c>
      <c r="F127" s="7">
        <v>6.79</v>
      </c>
      <c r="G127" s="7">
        <v>0.34</v>
      </c>
      <c r="H127" s="2"/>
    </row>
    <row r="128" spans="1:8" x14ac:dyDescent="0.3">
      <c r="A128" s="8">
        <v>40724</v>
      </c>
      <c r="B128" s="7">
        <v>6.3550000000000004</v>
      </c>
      <c r="C128" s="7">
        <v>0.27700000000000002</v>
      </c>
      <c r="D128" s="7">
        <v>5.8</v>
      </c>
      <c r="E128" s="7">
        <v>0.2</v>
      </c>
      <c r="F128" s="7">
        <v>7.12</v>
      </c>
      <c r="G128" s="7">
        <v>-0.03</v>
      </c>
      <c r="H128" s="2"/>
    </row>
    <row r="129" spans="1:8" x14ac:dyDescent="0.3">
      <c r="A129" s="8">
        <v>40755</v>
      </c>
      <c r="B129" s="7">
        <v>6.4509999999999996</v>
      </c>
      <c r="C129" s="7">
        <v>0.46300000000000002</v>
      </c>
      <c r="D129" s="7">
        <v>6.1</v>
      </c>
      <c r="E129" s="7">
        <v>0.3</v>
      </c>
      <c r="F129" s="7">
        <v>7.54</v>
      </c>
      <c r="G129" s="7">
        <v>0.03</v>
      </c>
      <c r="H129" s="2"/>
    </row>
    <row r="130" spans="1:8" x14ac:dyDescent="0.3">
      <c r="A130" s="8">
        <v>40786</v>
      </c>
      <c r="B130" s="7">
        <v>6.1509999999999998</v>
      </c>
      <c r="C130" s="7">
        <v>0.308</v>
      </c>
      <c r="D130" s="7">
        <v>6</v>
      </c>
      <c r="E130" s="7">
        <v>0.3</v>
      </c>
      <c r="F130" s="7">
        <v>7.25</v>
      </c>
      <c r="G130" s="7">
        <v>0.11</v>
      </c>
      <c r="H130" s="2"/>
    </row>
    <row r="131" spans="1:8" x14ac:dyDescent="0.3">
      <c r="A131" s="8">
        <v>40816</v>
      </c>
      <c r="B131" s="7">
        <v>6.0670000000000002</v>
      </c>
      <c r="C131" s="7">
        <v>0.46800000000000003</v>
      </c>
      <c r="D131" s="7">
        <v>6</v>
      </c>
      <c r="E131" s="7">
        <v>0.5</v>
      </c>
      <c r="F131" s="7">
        <v>6.52</v>
      </c>
      <c r="G131" s="7">
        <v>0.02</v>
      </c>
      <c r="H131" s="2"/>
    </row>
    <row r="132" spans="1:8" x14ac:dyDescent="0.3">
      <c r="A132" s="8">
        <v>40847</v>
      </c>
      <c r="B132" s="7">
        <v>5.4950000000000001</v>
      </c>
      <c r="C132" s="7">
        <v>9.2999999999999999E-2</v>
      </c>
      <c r="D132" s="7">
        <v>5.3</v>
      </c>
      <c r="E132" s="7">
        <v>-0.1</v>
      </c>
      <c r="F132" s="7">
        <v>5</v>
      </c>
      <c r="G132" s="7">
        <v>-0.66</v>
      </c>
      <c r="H132" s="2"/>
    </row>
    <row r="133" spans="1:8" x14ac:dyDescent="0.3">
      <c r="A133" s="8">
        <v>40877</v>
      </c>
      <c r="B133" s="7">
        <v>4.2249999999999996</v>
      </c>
      <c r="C133" s="7">
        <v>-0.189</v>
      </c>
      <c r="D133" s="7">
        <v>4</v>
      </c>
      <c r="E133" s="7">
        <v>-0.1</v>
      </c>
      <c r="F133" s="7">
        <v>2.72</v>
      </c>
      <c r="G133" s="7">
        <v>-0.68</v>
      </c>
      <c r="H133" s="2"/>
    </row>
    <row r="134" spans="1:8" x14ac:dyDescent="0.3">
      <c r="A134" s="8">
        <v>40908</v>
      </c>
      <c r="B134" s="7">
        <v>4.07</v>
      </c>
      <c r="C134" s="7">
        <v>0.312</v>
      </c>
      <c r="D134" s="7">
        <v>3.8</v>
      </c>
      <c r="E134" s="7">
        <v>0.4</v>
      </c>
      <c r="F134" s="7">
        <v>1.69</v>
      </c>
      <c r="G134" s="7">
        <v>-0.32</v>
      </c>
      <c r="H134" s="2"/>
    </row>
    <row r="135" spans="1:8" x14ac:dyDescent="0.3">
      <c r="A135" s="8">
        <v>40939</v>
      </c>
      <c r="B135" s="7">
        <v>4.5</v>
      </c>
      <c r="C135" s="7">
        <v>1.5</v>
      </c>
      <c r="D135" s="7">
        <v>4.0999999999999996</v>
      </c>
      <c r="E135" s="7">
        <v>1.2</v>
      </c>
      <c r="F135" s="7">
        <v>0.73</v>
      </c>
      <c r="G135" s="7">
        <v>-7.0000000000000007E-2</v>
      </c>
      <c r="H135" s="2"/>
    </row>
    <row r="136" spans="1:8" x14ac:dyDescent="0.3">
      <c r="A136" s="8">
        <v>40968</v>
      </c>
      <c r="B136" s="7">
        <v>3.2</v>
      </c>
      <c r="C136" s="7">
        <v>-0.1</v>
      </c>
      <c r="D136" s="7">
        <v>2.9</v>
      </c>
      <c r="E136" s="7">
        <v>0</v>
      </c>
      <c r="F136" s="7">
        <v>0.03</v>
      </c>
      <c r="G136" s="7">
        <v>0.14000000000000001</v>
      </c>
      <c r="H136" s="2"/>
    </row>
    <row r="137" spans="1:8" x14ac:dyDescent="0.3">
      <c r="A137" s="8">
        <v>40999</v>
      </c>
      <c r="B137" s="7">
        <v>3.6</v>
      </c>
      <c r="C137" s="7">
        <v>0.2</v>
      </c>
      <c r="D137" s="7">
        <v>3.5</v>
      </c>
      <c r="E137" s="7">
        <v>0.3</v>
      </c>
      <c r="F137" s="7">
        <v>-0.32</v>
      </c>
      <c r="G137" s="7">
        <v>0.27</v>
      </c>
      <c r="H137" s="2"/>
    </row>
    <row r="138" spans="1:8" x14ac:dyDescent="0.3">
      <c r="A138" s="8">
        <v>41029</v>
      </c>
      <c r="B138" s="7">
        <v>3.4</v>
      </c>
      <c r="C138" s="7">
        <v>-0.1</v>
      </c>
      <c r="D138" s="7">
        <v>3.1</v>
      </c>
      <c r="E138" s="7">
        <v>-0.1</v>
      </c>
      <c r="F138" s="7">
        <v>-0.7</v>
      </c>
      <c r="G138" s="7">
        <v>0.16</v>
      </c>
      <c r="H138" s="2"/>
    </row>
    <row r="139" spans="1:8" x14ac:dyDescent="0.3">
      <c r="A139" s="8">
        <v>41060</v>
      </c>
      <c r="B139" s="7">
        <v>3</v>
      </c>
      <c r="C139" s="7">
        <v>-0.3</v>
      </c>
      <c r="D139" s="7">
        <v>2.5</v>
      </c>
      <c r="E139" s="7">
        <v>-0.5</v>
      </c>
      <c r="F139" s="7">
        <v>-1.4</v>
      </c>
      <c r="G139" s="7">
        <v>-0.37</v>
      </c>
      <c r="H139" s="2"/>
    </row>
    <row r="140" spans="1:8" x14ac:dyDescent="0.3">
      <c r="A140" s="8">
        <v>41090</v>
      </c>
      <c r="B140" s="7">
        <v>2.2000000000000002</v>
      </c>
      <c r="C140" s="7">
        <v>-0.6</v>
      </c>
      <c r="D140" s="7">
        <v>1.4</v>
      </c>
      <c r="E140" s="7">
        <v>-0.8</v>
      </c>
      <c r="F140" s="7">
        <v>-2.08</v>
      </c>
      <c r="G140" s="7">
        <v>-0.73</v>
      </c>
      <c r="H140" s="2"/>
    </row>
    <row r="141" spans="1:8" x14ac:dyDescent="0.3">
      <c r="A141" s="8">
        <v>41121</v>
      </c>
      <c r="B141" s="7">
        <v>1.8</v>
      </c>
      <c r="C141" s="7">
        <v>0.1</v>
      </c>
      <c r="D141" s="7">
        <v>0.8</v>
      </c>
      <c r="E141" s="7">
        <v>-0.3</v>
      </c>
      <c r="F141" s="7">
        <v>-2.87</v>
      </c>
      <c r="G141" s="7">
        <v>-0.77</v>
      </c>
      <c r="H141" s="2"/>
    </row>
    <row r="142" spans="1:8" x14ac:dyDescent="0.3">
      <c r="A142" s="8">
        <v>41152</v>
      </c>
      <c r="B142" s="7">
        <v>2</v>
      </c>
      <c r="C142" s="7">
        <v>0.6</v>
      </c>
      <c r="D142" s="7">
        <v>1</v>
      </c>
      <c r="E142" s="7">
        <v>0.6</v>
      </c>
      <c r="F142" s="7">
        <v>-3.48</v>
      </c>
      <c r="G142" s="7">
        <v>-0.52</v>
      </c>
      <c r="H142" s="2"/>
    </row>
    <row r="143" spans="1:8" x14ac:dyDescent="0.3">
      <c r="A143" s="8">
        <v>41182</v>
      </c>
      <c r="B143" s="7">
        <v>1.9</v>
      </c>
      <c r="C143" s="7">
        <v>0.3</v>
      </c>
      <c r="D143" s="7">
        <v>0.9</v>
      </c>
      <c r="E143" s="7">
        <v>0.4</v>
      </c>
      <c r="F143" s="7">
        <v>-3.55</v>
      </c>
      <c r="G143" s="7">
        <v>-0.06</v>
      </c>
      <c r="H143" s="2"/>
    </row>
    <row r="144" spans="1:8" x14ac:dyDescent="0.3">
      <c r="A144" s="8">
        <v>41213</v>
      </c>
      <c r="B144" s="7">
        <v>1.7</v>
      </c>
      <c r="C144" s="7">
        <v>-0.1</v>
      </c>
      <c r="D144" s="7">
        <v>0.9</v>
      </c>
      <c r="E144" s="7">
        <v>-0.1</v>
      </c>
      <c r="F144" s="7">
        <v>-2.76</v>
      </c>
      <c r="G144" s="7">
        <v>0.16</v>
      </c>
      <c r="H144" s="2"/>
    </row>
    <row r="145" spans="1:8" x14ac:dyDescent="0.3">
      <c r="A145" s="8">
        <v>41243</v>
      </c>
      <c r="B145" s="7">
        <v>2</v>
      </c>
      <c r="C145" s="7">
        <v>0.1</v>
      </c>
      <c r="D145" s="7">
        <v>1.1000000000000001</v>
      </c>
      <c r="E145" s="7">
        <v>0.2</v>
      </c>
      <c r="F145" s="7">
        <v>-2.2000000000000002</v>
      </c>
      <c r="G145" s="7">
        <v>-0.12</v>
      </c>
      <c r="H145" s="2"/>
    </row>
    <row r="146" spans="1:8" x14ac:dyDescent="0.3">
      <c r="A146" s="8">
        <v>41274</v>
      </c>
      <c r="B146" s="7">
        <v>2.5</v>
      </c>
      <c r="C146" s="7">
        <v>0.8</v>
      </c>
      <c r="D146" s="7">
        <v>1.5</v>
      </c>
      <c r="E146" s="7">
        <v>0.7</v>
      </c>
      <c r="F146" s="7">
        <v>-1.94</v>
      </c>
      <c r="G146" s="7">
        <v>-0.06</v>
      </c>
      <c r="H146" s="2"/>
    </row>
    <row r="147" spans="1:8" x14ac:dyDescent="0.3">
      <c r="A147" s="8">
        <v>41305</v>
      </c>
      <c r="B147" s="7">
        <v>2.0305</v>
      </c>
      <c r="C147" s="7">
        <v>1.0103</v>
      </c>
      <c r="D147" s="7">
        <v>1.3</v>
      </c>
      <c r="E147" s="7">
        <v>0.9</v>
      </c>
      <c r="F147" s="7">
        <v>-1.64</v>
      </c>
      <c r="G147" s="7">
        <v>0.24</v>
      </c>
      <c r="H147" s="2"/>
    </row>
    <row r="148" spans="1:8" x14ac:dyDescent="0.3">
      <c r="A148" s="8">
        <v>41333</v>
      </c>
      <c r="B148" s="7">
        <v>3.2198000000000002</v>
      </c>
      <c r="C148" s="7">
        <v>1.0564</v>
      </c>
      <c r="D148" s="7">
        <v>2.1</v>
      </c>
      <c r="E148" s="7">
        <v>0.8</v>
      </c>
      <c r="F148" s="7">
        <v>-1.63</v>
      </c>
      <c r="G148" s="7">
        <v>0.15</v>
      </c>
      <c r="H148" s="2"/>
    </row>
    <row r="149" spans="1:8" x14ac:dyDescent="0.3">
      <c r="A149" s="8">
        <v>41364</v>
      </c>
      <c r="B149" s="7">
        <v>2.0695999999999999</v>
      </c>
      <c r="C149" s="7">
        <v>-0.91320000000000001</v>
      </c>
      <c r="D149" s="7">
        <v>0.8</v>
      </c>
      <c r="E149" s="7">
        <v>-0.9</v>
      </c>
      <c r="F149" s="7">
        <v>-1.92</v>
      </c>
      <c r="G149" s="7">
        <v>-0.03</v>
      </c>
      <c r="H149" s="2"/>
    </row>
    <row r="150" spans="1:8" x14ac:dyDescent="0.3">
      <c r="A150" s="8">
        <v>41394</v>
      </c>
      <c r="B150" s="7">
        <v>2.3860999999999999</v>
      </c>
      <c r="C150" s="7">
        <v>0.2351</v>
      </c>
      <c r="D150" s="7">
        <v>0.9</v>
      </c>
      <c r="E150" s="7">
        <v>0</v>
      </c>
      <c r="F150" s="7">
        <v>-2.62</v>
      </c>
      <c r="G150" s="7">
        <v>-0.55000000000000004</v>
      </c>
      <c r="H150" s="2"/>
    </row>
    <row r="151" spans="1:8" x14ac:dyDescent="0.3">
      <c r="A151" s="8">
        <v>41425</v>
      </c>
      <c r="B151" s="7">
        <v>2.0981000000000001</v>
      </c>
      <c r="C151" s="7">
        <v>-0.55969999999999998</v>
      </c>
      <c r="D151" s="7">
        <v>0.7</v>
      </c>
      <c r="E151" s="7">
        <v>-0.7</v>
      </c>
      <c r="F151" s="7">
        <v>-2.87</v>
      </c>
      <c r="G151" s="7">
        <v>-0.62</v>
      </c>
      <c r="H151" s="2"/>
    </row>
    <row r="152" spans="1:8" x14ac:dyDescent="0.3">
      <c r="A152" s="8">
        <v>41455</v>
      </c>
      <c r="B152" s="7">
        <v>2.6684000000000001</v>
      </c>
      <c r="C152" s="7">
        <v>4.8999999999999998E-3</v>
      </c>
      <c r="D152" s="7">
        <v>1.4</v>
      </c>
      <c r="E152" s="7">
        <v>-0.1</v>
      </c>
      <c r="F152" s="7">
        <v>-2.7</v>
      </c>
      <c r="G152" s="7">
        <v>-0.55000000000000004</v>
      </c>
      <c r="H152" s="2"/>
    </row>
    <row r="153" spans="1:8" x14ac:dyDescent="0.3">
      <c r="A153" s="8">
        <v>41486</v>
      </c>
      <c r="B153" s="7">
        <v>2.6741000000000001</v>
      </c>
      <c r="C153" s="7">
        <v>0.1036</v>
      </c>
      <c r="D153" s="7">
        <v>1.7</v>
      </c>
      <c r="E153" s="7">
        <v>-0.1</v>
      </c>
      <c r="F153" s="7">
        <v>-2.27</v>
      </c>
      <c r="G153" s="7">
        <v>-0.33</v>
      </c>
      <c r="H153" s="2"/>
    </row>
    <row r="154" spans="1:8" x14ac:dyDescent="0.3">
      <c r="A154" s="8">
        <v>41517</v>
      </c>
      <c r="B154" s="7">
        <v>2.5666000000000002</v>
      </c>
      <c r="C154" s="7">
        <v>0.46500000000000002</v>
      </c>
      <c r="D154" s="7">
        <v>1.6</v>
      </c>
      <c r="E154" s="7">
        <v>0.5</v>
      </c>
      <c r="F154" s="7">
        <v>-1.62</v>
      </c>
      <c r="G154" s="7">
        <v>0.14000000000000001</v>
      </c>
      <c r="H154" s="2"/>
    </row>
    <row r="155" spans="1:8" x14ac:dyDescent="0.3">
      <c r="A155" s="8">
        <v>41547</v>
      </c>
      <c r="B155" s="7">
        <v>3.0518999999999998</v>
      </c>
      <c r="C155" s="7">
        <v>0.81279999999999997</v>
      </c>
      <c r="D155" s="7">
        <v>1.9</v>
      </c>
      <c r="E155" s="7">
        <v>0.7</v>
      </c>
      <c r="F155" s="7">
        <v>-1.34</v>
      </c>
      <c r="G155" s="7">
        <v>0.23</v>
      </c>
      <c r="H155" s="2"/>
    </row>
    <row r="156" spans="1:8" x14ac:dyDescent="0.3">
      <c r="A156" s="8">
        <v>41578</v>
      </c>
      <c r="B156" s="7">
        <v>3.2058</v>
      </c>
      <c r="C156" s="7">
        <v>5.74E-2</v>
      </c>
      <c r="D156" s="7">
        <v>1.9</v>
      </c>
      <c r="E156" s="7">
        <v>-0.11</v>
      </c>
      <c r="F156" s="7">
        <v>-1.51</v>
      </c>
      <c r="G156" s="7">
        <v>0</v>
      </c>
      <c r="H156" s="2"/>
    </row>
    <row r="157" spans="1:8" x14ac:dyDescent="0.3">
      <c r="A157" s="8">
        <v>41608</v>
      </c>
      <c r="B157" s="7">
        <v>3.0179999999999998</v>
      </c>
      <c r="C157" s="7">
        <v>-6.4500000000000002E-2</v>
      </c>
      <c r="D157" s="7">
        <v>1.67</v>
      </c>
      <c r="E157" s="7">
        <v>-0.05</v>
      </c>
      <c r="F157" s="7">
        <v>-1.42</v>
      </c>
      <c r="G157" s="7">
        <v>-0.03</v>
      </c>
      <c r="H157" s="2"/>
    </row>
    <row r="158" spans="1:8" x14ac:dyDescent="0.3">
      <c r="A158" s="8">
        <v>41639</v>
      </c>
      <c r="B158" s="7">
        <v>2.4986999999999999</v>
      </c>
      <c r="C158" s="7">
        <v>0.28129999999999999</v>
      </c>
      <c r="D158" s="7">
        <v>1.25</v>
      </c>
      <c r="E158" s="7">
        <v>0.33</v>
      </c>
      <c r="F158" s="7">
        <v>-1.36</v>
      </c>
      <c r="G158" s="7">
        <v>0.01</v>
      </c>
      <c r="H158" s="2"/>
    </row>
    <row r="159" spans="1:8" x14ac:dyDescent="0.3">
      <c r="A159" s="8">
        <v>41670</v>
      </c>
      <c r="B159" s="7">
        <v>2.4861</v>
      </c>
      <c r="C159" s="7">
        <v>0.99790000000000001</v>
      </c>
      <c r="D159" s="7">
        <v>1.1100000000000001</v>
      </c>
      <c r="E159" s="7">
        <v>0.76</v>
      </c>
      <c r="F159" s="7">
        <v>-1.64</v>
      </c>
      <c r="G159" s="7">
        <v>-0.05</v>
      </c>
      <c r="H159" s="2"/>
    </row>
    <row r="160" spans="1:8" x14ac:dyDescent="0.3">
      <c r="A160" s="8">
        <v>41698</v>
      </c>
      <c r="B160" s="7">
        <v>1.9511000000000001</v>
      </c>
      <c r="C160" s="7">
        <v>0.52880000000000005</v>
      </c>
      <c r="D160" s="7">
        <v>0.75190000000000001</v>
      </c>
      <c r="E160" s="7">
        <v>0.46200000000000002</v>
      </c>
      <c r="F160" s="7">
        <v>-2</v>
      </c>
      <c r="G160" s="7">
        <v>-0.2</v>
      </c>
      <c r="H160" s="2"/>
    </row>
    <row r="161" spans="1:8" x14ac:dyDescent="0.3">
      <c r="A161" s="8">
        <v>41729</v>
      </c>
      <c r="B161" s="7">
        <v>2.3847999999999998</v>
      </c>
      <c r="C161" s="7">
        <v>-0.49170000000000003</v>
      </c>
      <c r="D161" s="7">
        <v>1.2</v>
      </c>
      <c r="E161" s="7">
        <v>-0.4</v>
      </c>
      <c r="F161" s="7">
        <v>-2.3018999999999998</v>
      </c>
      <c r="G161" s="7">
        <v>-0.3</v>
      </c>
      <c r="H161" s="2"/>
    </row>
    <row r="162" spans="1:8" x14ac:dyDescent="0.3">
      <c r="A162" s="8">
        <v>41759</v>
      </c>
      <c r="B162" s="7">
        <v>1.8013999999999999</v>
      </c>
      <c r="C162" s="7">
        <v>-0.33610000000000001</v>
      </c>
      <c r="D162" s="7">
        <v>0.80730000000000002</v>
      </c>
      <c r="E162" s="7">
        <v>-0.45850000000000002</v>
      </c>
      <c r="F162" s="7">
        <v>-2.0042</v>
      </c>
      <c r="G162" s="7">
        <v>-0.24740000000000001</v>
      </c>
      <c r="H162" s="2"/>
    </row>
    <row r="163" spans="1:8" x14ac:dyDescent="0.3">
      <c r="A163" s="8">
        <v>41790</v>
      </c>
      <c r="B163" s="7">
        <v>2.4773000000000001</v>
      </c>
      <c r="C163" s="7">
        <v>0.10059999999999999</v>
      </c>
      <c r="D163" s="7">
        <v>1.6468</v>
      </c>
      <c r="E163" s="7">
        <v>0.10639999999999999</v>
      </c>
      <c r="F163" s="7">
        <v>-1.4463999999999999</v>
      </c>
      <c r="G163" s="7">
        <v>-5.5100000000000003E-2</v>
      </c>
      <c r="H163" s="2"/>
    </row>
    <row r="164" spans="1:8" x14ac:dyDescent="0.3">
      <c r="A164" s="8">
        <v>41820</v>
      </c>
      <c r="B164" s="7">
        <v>2.3361000000000001</v>
      </c>
      <c r="C164" s="7">
        <v>-0.13289999999999999</v>
      </c>
      <c r="D164" s="7">
        <v>1.6046</v>
      </c>
      <c r="E164" s="7">
        <v>-0.16950000000000001</v>
      </c>
      <c r="F164" s="7">
        <v>-1.1092</v>
      </c>
      <c r="G164" s="7">
        <v>-0.21379999999999999</v>
      </c>
      <c r="H164" s="2"/>
    </row>
    <row r="165" spans="1:8" x14ac:dyDescent="0.3">
      <c r="A165" s="8">
        <v>41851</v>
      </c>
      <c r="B165" s="7">
        <v>2.2852000000000001</v>
      </c>
      <c r="C165" s="7">
        <v>5.3800000000000001E-2</v>
      </c>
      <c r="D165" s="7">
        <v>1.5775999999999999</v>
      </c>
      <c r="E165" s="7">
        <v>-8.4900000000000003E-2</v>
      </c>
      <c r="F165" s="7">
        <v>-0.86880000000000002</v>
      </c>
      <c r="G165" s="7">
        <v>-9.2600000000000002E-2</v>
      </c>
      <c r="H165" s="2"/>
    </row>
    <row r="166" spans="1:8" x14ac:dyDescent="0.3">
      <c r="A166" s="8">
        <v>41882</v>
      </c>
      <c r="B166" s="7">
        <v>1.9908999999999999</v>
      </c>
      <c r="C166" s="7">
        <v>0.1759</v>
      </c>
      <c r="D166" s="7">
        <v>1.1828000000000001</v>
      </c>
      <c r="E166" s="7">
        <v>8.9200000000000002E-2</v>
      </c>
      <c r="F166" s="7">
        <v>-1.2038</v>
      </c>
      <c r="G166" s="7">
        <v>-0.1978</v>
      </c>
      <c r="H166" s="2"/>
    </row>
    <row r="167" spans="1:8" x14ac:dyDescent="0.3">
      <c r="A167" s="8">
        <v>41912</v>
      </c>
      <c r="B167" s="7">
        <v>1.6274999999999999</v>
      </c>
      <c r="C167" s="7">
        <v>0.45369999999999999</v>
      </c>
      <c r="D167" s="7">
        <v>0.66320000000000001</v>
      </c>
      <c r="E167" s="7">
        <v>0.21290000000000001</v>
      </c>
      <c r="F167" s="7">
        <v>-1.7996000000000001</v>
      </c>
      <c r="G167" s="7">
        <v>-0.4</v>
      </c>
      <c r="H167" s="2"/>
    </row>
    <row r="168" spans="1:8" x14ac:dyDescent="0.3">
      <c r="A168" s="8">
        <v>41943</v>
      </c>
      <c r="B168" s="7">
        <v>1.6011</v>
      </c>
      <c r="C168" s="7">
        <v>3.1399999999999997E-2</v>
      </c>
      <c r="D168" s="7">
        <v>0.61370000000000002</v>
      </c>
      <c r="E168" s="7">
        <v>-0.16189999999999999</v>
      </c>
      <c r="F168" s="7">
        <v>-2.2427999999999999</v>
      </c>
      <c r="G168" s="7">
        <v>-0.4</v>
      </c>
      <c r="H168" s="2"/>
    </row>
    <row r="169" spans="1:8" x14ac:dyDescent="0.3">
      <c r="A169" s="8">
        <v>41973</v>
      </c>
      <c r="B169" s="7">
        <v>1.4393</v>
      </c>
      <c r="C169" s="7">
        <v>-0.22359999999999999</v>
      </c>
      <c r="D169" s="7">
        <v>0.437</v>
      </c>
      <c r="E169" s="7">
        <v>-0.2291</v>
      </c>
      <c r="F169" s="7">
        <v>-2.6928000000000001</v>
      </c>
      <c r="G169" s="7">
        <v>-0.49259999999999998</v>
      </c>
      <c r="H169" s="2"/>
    </row>
    <row r="170" spans="1:8" x14ac:dyDescent="0.3">
      <c r="A170" s="8">
        <v>42004</v>
      </c>
      <c r="B170" s="7">
        <v>1.5056</v>
      </c>
      <c r="C170" s="7">
        <v>0.3468</v>
      </c>
      <c r="D170" s="7">
        <v>0.36480000000000001</v>
      </c>
      <c r="E170" s="7">
        <v>0.253</v>
      </c>
      <c r="F170" s="7">
        <v>-3.3151999999999999</v>
      </c>
      <c r="G170" s="7">
        <v>-0.62970000000000004</v>
      </c>
      <c r="H170" s="2"/>
    </row>
    <row r="171" spans="1:8" x14ac:dyDescent="0.3">
      <c r="A171" s="8">
        <v>42035</v>
      </c>
      <c r="B171" s="7">
        <v>0.76380000000000003</v>
      </c>
      <c r="C171" s="7">
        <v>0.25979999999999998</v>
      </c>
      <c r="D171" s="7">
        <v>-0.4456</v>
      </c>
      <c r="E171" s="7">
        <v>-5.3499999999999999E-2</v>
      </c>
      <c r="F171" s="7">
        <v>-4.3201999999999998</v>
      </c>
      <c r="G171" s="7">
        <v>-1.0909</v>
      </c>
      <c r="H171" s="2"/>
    </row>
    <row r="172" spans="1:8" x14ac:dyDescent="0.3">
      <c r="A172" s="8">
        <v>42063</v>
      </c>
      <c r="B172" s="7">
        <v>1.4311</v>
      </c>
      <c r="C172" s="7">
        <v>1.1946000000000001</v>
      </c>
      <c r="D172" s="7">
        <v>-6.0699999999999997E-2</v>
      </c>
      <c r="E172" s="7">
        <v>0.85040000000000004</v>
      </c>
      <c r="F172" s="7">
        <v>-4.7976000000000001</v>
      </c>
      <c r="G172" s="7">
        <v>-0.73060000000000003</v>
      </c>
      <c r="H172" s="2"/>
    </row>
    <row r="173" spans="1:8" x14ac:dyDescent="0.3">
      <c r="A173" s="8">
        <v>42094</v>
      </c>
      <c r="B173" s="7">
        <v>1.3757999999999999</v>
      </c>
      <c r="C173" s="7">
        <v>-0.54600000000000004</v>
      </c>
      <c r="D173" s="7">
        <v>-7.6E-3</v>
      </c>
      <c r="E173" s="7">
        <v>-0.35560000000000003</v>
      </c>
      <c r="F173" s="7">
        <v>-4.5602999999999998</v>
      </c>
      <c r="G173" s="7">
        <v>-7.1800000000000003E-2</v>
      </c>
      <c r="H173" s="2"/>
    </row>
    <row r="174" spans="1:8" x14ac:dyDescent="0.3">
      <c r="A174" s="8">
        <v>42124</v>
      </c>
      <c r="B174" s="7">
        <v>1.5091000000000001</v>
      </c>
      <c r="C174" s="7">
        <v>-0.20499999999999999</v>
      </c>
      <c r="D174" s="7">
        <v>0.1056</v>
      </c>
      <c r="E174" s="7">
        <v>-0.3458</v>
      </c>
      <c r="F174" s="7">
        <v>-4.5724999999999998</v>
      </c>
      <c r="G174" s="7">
        <v>-0.26019999999999999</v>
      </c>
      <c r="H174" s="2"/>
    </row>
    <row r="175" spans="1:8" x14ac:dyDescent="0.3">
      <c r="A175" s="8">
        <v>42155</v>
      </c>
      <c r="B175" s="7">
        <v>1.2307999999999999</v>
      </c>
      <c r="C175" s="7">
        <v>-0.1739</v>
      </c>
      <c r="D175" s="7">
        <v>-8.2000000000000003E-2</v>
      </c>
      <c r="E175" s="7">
        <v>-8.1199999999999994E-2</v>
      </c>
      <c r="F175" s="7">
        <v>-4.6070000000000002</v>
      </c>
      <c r="G175" s="7">
        <v>-9.1200000000000003E-2</v>
      </c>
      <c r="H175" s="2"/>
    </row>
    <row r="176" spans="1:8" x14ac:dyDescent="0.3">
      <c r="A176" s="8">
        <v>42185</v>
      </c>
      <c r="B176" s="7">
        <v>1.3909</v>
      </c>
      <c r="C176" s="7">
        <v>2.5100000000000001E-2</v>
      </c>
      <c r="D176" s="7">
        <v>4.7500000000000001E-2</v>
      </c>
      <c r="E176" s="7">
        <v>-4.0099999999999997E-2</v>
      </c>
      <c r="F176" s="7">
        <v>-4.8135000000000003</v>
      </c>
      <c r="G176" s="7">
        <v>-0.42909999999999998</v>
      </c>
      <c r="H176" s="2"/>
    </row>
    <row r="177" spans="1:8" x14ac:dyDescent="0.3">
      <c r="A177" s="8">
        <v>42216</v>
      </c>
      <c r="B177" s="7">
        <v>1.6473</v>
      </c>
      <c r="C177" s="7">
        <v>0.30690000000000001</v>
      </c>
      <c r="D177" s="7">
        <v>0.1885</v>
      </c>
      <c r="E177" s="7">
        <v>5.5800000000000002E-2</v>
      </c>
      <c r="F177" s="7">
        <v>-5.3692000000000002</v>
      </c>
      <c r="G177" s="7">
        <v>-0.67589999999999995</v>
      </c>
      <c r="H177" s="2"/>
    </row>
    <row r="178" spans="1:8" x14ac:dyDescent="0.3">
      <c r="A178" s="8">
        <v>42247</v>
      </c>
      <c r="B178" s="7">
        <v>1.9554</v>
      </c>
      <c r="C178" s="7">
        <v>0.47949999999999998</v>
      </c>
      <c r="D178" s="7">
        <v>0.40060000000000001</v>
      </c>
      <c r="E178" s="7">
        <v>0.30109999999999998</v>
      </c>
      <c r="F178" s="7">
        <v>-5.9226999999999999</v>
      </c>
      <c r="G178" s="7">
        <v>-0.78159999999999996</v>
      </c>
      <c r="H178" s="2"/>
    </row>
    <row r="179" spans="1:8" x14ac:dyDescent="0.3">
      <c r="A179" s="8">
        <v>42277</v>
      </c>
      <c r="B179" s="7">
        <v>1.5955999999999999</v>
      </c>
      <c r="C179" s="7">
        <v>9.9199999999999997E-2</v>
      </c>
      <c r="D179" s="7">
        <v>8.5400000000000004E-2</v>
      </c>
      <c r="E179" s="7">
        <v>-0.1017</v>
      </c>
      <c r="F179" s="7">
        <v>-5.9450000000000003</v>
      </c>
      <c r="G179" s="7">
        <v>-0.40150000000000002</v>
      </c>
      <c r="H179" s="2"/>
    </row>
    <row r="180" spans="1:8" x14ac:dyDescent="0.3">
      <c r="A180" s="8">
        <v>42308</v>
      </c>
      <c r="B180" s="7">
        <v>1.2674000000000001</v>
      </c>
      <c r="C180" s="7">
        <v>-0.29170000000000001</v>
      </c>
      <c r="D180" s="7">
        <v>-1.7299999999999999E-2</v>
      </c>
      <c r="E180" s="7">
        <v>-0.26429999999999998</v>
      </c>
      <c r="F180" s="7">
        <v>-5.9</v>
      </c>
      <c r="G180" s="7">
        <v>-0.4</v>
      </c>
      <c r="H180" s="2"/>
    </row>
    <row r="181" spans="1:8" x14ac:dyDescent="0.3">
      <c r="A181" s="8">
        <v>42338</v>
      </c>
      <c r="B181" s="7">
        <v>1.4856</v>
      </c>
      <c r="C181" s="7">
        <v>-8.6999999999999994E-3</v>
      </c>
      <c r="D181" s="7">
        <v>0.22209999999999999</v>
      </c>
      <c r="E181" s="7">
        <v>9.7000000000000003E-3</v>
      </c>
      <c r="F181" s="7">
        <v>-5.9</v>
      </c>
      <c r="G181" s="7">
        <v>-0.5</v>
      </c>
      <c r="H181" s="2"/>
    </row>
    <row r="182" spans="1:8" x14ac:dyDescent="0.3">
      <c r="A182" s="8">
        <v>42369</v>
      </c>
      <c r="B182" s="7">
        <v>1.6</v>
      </c>
      <c r="C182" s="7">
        <v>0.49653000000000003</v>
      </c>
      <c r="D182" s="7">
        <v>0.43719999999999998</v>
      </c>
      <c r="E182" s="7">
        <v>0.46829999999999999</v>
      </c>
      <c r="F182" s="7">
        <v>-5.9</v>
      </c>
      <c r="G182" s="7">
        <v>-0.6</v>
      </c>
      <c r="H182" s="2"/>
    </row>
    <row r="183" spans="1:8" x14ac:dyDescent="0.3">
      <c r="A183" s="8">
        <v>42400</v>
      </c>
      <c r="B183" s="7">
        <v>1.8</v>
      </c>
      <c r="C183" s="7">
        <v>0.5</v>
      </c>
      <c r="D183" s="7">
        <v>0.2</v>
      </c>
      <c r="E183" s="7">
        <v>0.4</v>
      </c>
      <c r="F183" s="7">
        <v>-5.3</v>
      </c>
      <c r="G183" s="7">
        <v>-0.5</v>
      </c>
      <c r="H183" s="2"/>
    </row>
    <row r="184" spans="1:8" x14ac:dyDescent="0.3">
      <c r="A184" s="8">
        <v>42429</v>
      </c>
      <c r="B184" s="7">
        <v>2.2999999999999998</v>
      </c>
      <c r="C184" s="7">
        <v>1.6</v>
      </c>
      <c r="D184" s="7">
        <v>0.9</v>
      </c>
      <c r="E184" s="7">
        <v>1.2</v>
      </c>
      <c r="F184" s="7">
        <v>-4.9000000000000004</v>
      </c>
      <c r="G184" s="7">
        <v>-0.3</v>
      </c>
      <c r="H184" s="2"/>
    </row>
    <row r="185" spans="1:8" x14ac:dyDescent="0.3">
      <c r="A185" s="8">
        <v>42460</v>
      </c>
      <c r="B185" s="7">
        <v>2.3013910000000002</v>
      </c>
      <c r="C185" s="7">
        <v>-0.43053799999999998</v>
      </c>
      <c r="D185" s="7">
        <v>0.73089999999999999</v>
      </c>
      <c r="E185" s="7">
        <v>-0.29260000000000003</v>
      </c>
      <c r="F185" s="7">
        <v>-4.3</v>
      </c>
      <c r="G185" s="7">
        <v>0.5</v>
      </c>
      <c r="H185" s="2"/>
    </row>
    <row r="186" spans="1:8" x14ac:dyDescent="0.3">
      <c r="A186" s="8">
        <v>42490</v>
      </c>
      <c r="B186" s="7">
        <v>2.3278650000000001</v>
      </c>
      <c r="C186" s="7">
        <v>-0.17941399999999999</v>
      </c>
      <c r="D186" s="7">
        <v>0.74309999999999998</v>
      </c>
      <c r="E186" s="7">
        <v>-0.29299999999999998</v>
      </c>
      <c r="F186" s="7">
        <v>-3.4</v>
      </c>
      <c r="G186" s="7">
        <v>0.7</v>
      </c>
      <c r="H186" s="2"/>
    </row>
    <row r="187" spans="1:8" x14ac:dyDescent="0.3">
      <c r="A187" s="8">
        <v>42521</v>
      </c>
      <c r="B187" s="7">
        <v>2.038999</v>
      </c>
      <c r="C187" s="7">
        <v>-0.45585500000000001</v>
      </c>
      <c r="D187" s="7">
        <v>0.2893</v>
      </c>
      <c r="E187" s="7">
        <v>-0.33510000000000001</v>
      </c>
      <c r="F187" s="7">
        <v>-2.8</v>
      </c>
      <c r="G187" s="7">
        <v>0.5</v>
      </c>
      <c r="H187" s="2"/>
    </row>
    <row r="188" spans="1:8" x14ac:dyDescent="0.3">
      <c r="A188" s="8">
        <v>42551</v>
      </c>
      <c r="B188" s="7">
        <v>1.8795029999999999</v>
      </c>
      <c r="C188" s="7">
        <v>-0.13123499999999999</v>
      </c>
      <c r="D188" s="7">
        <v>0.26869999999999999</v>
      </c>
      <c r="E188" s="7">
        <v>-0.11890000000000001</v>
      </c>
      <c r="F188" s="7">
        <v>-2.6</v>
      </c>
      <c r="G188" s="7">
        <v>-0.2</v>
      </c>
      <c r="H188" s="2"/>
    </row>
    <row r="189" spans="1:8" x14ac:dyDescent="0.3">
      <c r="A189" s="8">
        <v>42582</v>
      </c>
      <c r="B189" s="7">
        <v>1.7651129999999999</v>
      </c>
      <c r="C189" s="7">
        <v>0.194549</v>
      </c>
      <c r="D189" s="7">
        <v>0.36</v>
      </c>
      <c r="E189" s="7">
        <v>1.9800000000000002E-2</v>
      </c>
      <c r="F189" s="7">
        <v>-1.7</v>
      </c>
      <c r="G189" s="7">
        <v>0.2</v>
      </c>
      <c r="H189" s="2"/>
    </row>
    <row r="190" spans="1:8" x14ac:dyDescent="0.3">
      <c r="A190" s="8">
        <v>42613</v>
      </c>
      <c r="B190" s="7">
        <v>1.3397730000000001</v>
      </c>
      <c r="C190" s="7">
        <v>6.0004000000000002E-2</v>
      </c>
      <c r="D190" s="7">
        <v>0.35070000000000001</v>
      </c>
      <c r="E190" s="7">
        <v>-4.8500000000000001E-2</v>
      </c>
      <c r="F190" s="7">
        <v>-0.8</v>
      </c>
      <c r="G190" s="7">
        <v>0.2</v>
      </c>
    </row>
    <row r="191" spans="1:8" x14ac:dyDescent="0.3">
      <c r="A191" s="8">
        <v>42643</v>
      </c>
      <c r="B191" s="7">
        <v>1.920226</v>
      </c>
      <c r="C191" s="7">
        <v>0.67264699999999999</v>
      </c>
      <c r="D191" s="7">
        <v>1.0127999999999999</v>
      </c>
      <c r="E191" s="7">
        <v>0.51500000000000001</v>
      </c>
      <c r="F191" s="7">
        <v>0.1</v>
      </c>
      <c r="G191" s="7">
        <v>0.5</v>
      </c>
    </row>
    <row r="192" spans="1:8" x14ac:dyDescent="0.3">
      <c r="A192" s="8">
        <v>42674</v>
      </c>
      <c r="B192" s="7">
        <v>2.0959469999999998</v>
      </c>
      <c r="C192" s="7">
        <v>-0.120073</v>
      </c>
      <c r="D192" s="7">
        <v>1.0992999999999999</v>
      </c>
      <c r="E192" s="7">
        <v>-4.4699999999999997E-2</v>
      </c>
      <c r="F192" s="7">
        <v>1.2</v>
      </c>
      <c r="G192" s="7">
        <v>0.7</v>
      </c>
    </row>
    <row r="193" spans="1:7" x14ac:dyDescent="0.3">
      <c r="A193" s="8">
        <v>42704</v>
      </c>
      <c r="B193" s="7">
        <v>2.2522579999999999</v>
      </c>
      <c r="C193" s="7">
        <v>0.14437900000000001</v>
      </c>
      <c r="D193" s="7">
        <v>1.4976</v>
      </c>
      <c r="E193" s="7">
        <v>0.2868</v>
      </c>
      <c r="F193" s="7">
        <v>3.3</v>
      </c>
      <c r="G193" s="7">
        <v>1.5</v>
      </c>
    </row>
    <row r="194" spans="1:7" x14ac:dyDescent="0.3">
      <c r="A194" s="8">
        <v>42735</v>
      </c>
      <c r="B194" s="7">
        <v>2.0765449999999999</v>
      </c>
      <c r="C194" s="7">
        <v>0.22400600000000001</v>
      </c>
      <c r="D194" s="7">
        <v>1.5204</v>
      </c>
      <c r="E194" s="7">
        <v>0.26779999999999998</v>
      </c>
      <c r="F194" s="7">
        <v>5.5</v>
      </c>
      <c r="G194" s="7">
        <v>1.6</v>
      </c>
    </row>
    <row r="195" spans="1:7" x14ac:dyDescent="0.3">
      <c r="A195" s="8">
        <v>42766</v>
      </c>
      <c r="B195" s="7">
        <v>2.5490550000000001</v>
      </c>
      <c r="C195" s="7">
        <v>0.99839999999999995</v>
      </c>
      <c r="D195" s="7">
        <v>1.9245000000000001</v>
      </c>
      <c r="E195" s="7">
        <v>0.76800000000000002</v>
      </c>
      <c r="F195" s="7">
        <v>6.9</v>
      </c>
      <c r="G195" s="7">
        <v>0.8</v>
      </c>
    </row>
    <row r="196" spans="1:7" x14ac:dyDescent="0.3">
      <c r="A196" s="8">
        <v>42794</v>
      </c>
      <c r="B196" s="7">
        <v>0.8</v>
      </c>
      <c r="C196" s="7">
        <v>-0.16789999999999999</v>
      </c>
      <c r="D196" s="7">
        <v>0.68500000000000005</v>
      </c>
      <c r="E196" s="7">
        <v>-2.6700000000000002E-2</v>
      </c>
      <c r="F196" s="7">
        <v>7.8</v>
      </c>
      <c r="G196" s="7">
        <v>0.6</v>
      </c>
    </row>
    <row r="197" spans="1:7" x14ac:dyDescent="0.3">
      <c r="A197" s="8">
        <v>42825</v>
      </c>
      <c r="B197" s="7">
        <v>0.9</v>
      </c>
      <c r="C197" s="7">
        <v>-0.31680000000000003</v>
      </c>
      <c r="D197" s="7">
        <v>0.67600000000000005</v>
      </c>
      <c r="E197" s="7">
        <v>-0.30159999999999998</v>
      </c>
      <c r="F197" s="7">
        <v>7.6</v>
      </c>
      <c r="G197" s="7">
        <v>0.3</v>
      </c>
    </row>
    <row r="198" spans="1:7" x14ac:dyDescent="0.3">
      <c r="A198" s="8">
        <v>42855</v>
      </c>
      <c r="B198" s="7">
        <v>1.2</v>
      </c>
      <c r="C198" s="7">
        <v>6.6500000000000004E-2</v>
      </c>
      <c r="D198" s="7">
        <v>0.90759999999999996</v>
      </c>
      <c r="E198" s="7">
        <v>-6.3500000000000001E-2</v>
      </c>
      <c r="F198" s="7">
        <v>6.4</v>
      </c>
      <c r="G198" s="7">
        <v>-0.4</v>
      </c>
    </row>
    <row r="199" spans="1:7" x14ac:dyDescent="0.3">
      <c r="A199" s="8">
        <v>42886</v>
      </c>
      <c r="B199" s="7">
        <v>1.5</v>
      </c>
      <c r="C199" s="7">
        <v>-0.11020000000000001</v>
      </c>
      <c r="D199" s="7">
        <v>1.1029</v>
      </c>
      <c r="E199" s="7">
        <v>-0.15110000000000001</v>
      </c>
      <c r="F199" s="7">
        <v>5.5</v>
      </c>
      <c r="G199" s="7">
        <v>-0.3</v>
      </c>
    </row>
    <row r="200" spans="1:7" x14ac:dyDescent="0.3">
      <c r="A200" s="8">
        <v>42916</v>
      </c>
      <c r="B200" s="7">
        <v>1.5</v>
      </c>
      <c r="C200" s="7">
        <v>-0.15210000000000001</v>
      </c>
      <c r="D200" s="7">
        <v>0.89639999999999997</v>
      </c>
      <c r="E200" s="7">
        <v>-0.32279999999999998</v>
      </c>
      <c r="F200" s="7">
        <v>5.5</v>
      </c>
      <c r="G200" s="7">
        <v>-0.2</v>
      </c>
    </row>
    <row r="201" spans="1:7" x14ac:dyDescent="0.3">
      <c r="A201" s="8">
        <v>42947</v>
      </c>
      <c r="B201" s="7">
        <v>1.4</v>
      </c>
      <c r="C201" s="7">
        <v>0.1066</v>
      </c>
      <c r="D201" s="7">
        <v>0.66500000000000004</v>
      </c>
      <c r="E201" s="7">
        <v>-0.20960000000000001</v>
      </c>
      <c r="F201" s="7">
        <v>5.5</v>
      </c>
      <c r="G201" s="7">
        <v>0.2</v>
      </c>
    </row>
    <row r="202" spans="1:7" x14ac:dyDescent="0.3">
      <c r="A202" s="8">
        <v>42978</v>
      </c>
      <c r="B202" s="7">
        <v>1.8</v>
      </c>
      <c r="C202" s="7">
        <v>0.41570000000000001</v>
      </c>
      <c r="D202" s="7">
        <v>1.1434</v>
      </c>
      <c r="E202" s="7">
        <v>0.42649999999999999</v>
      </c>
      <c r="F202" s="7">
        <v>6.3</v>
      </c>
      <c r="G202" s="7">
        <v>0.9</v>
      </c>
    </row>
    <row r="203" spans="1:7" x14ac:dyDescent="0.3">
      <c r="A203" s="8">
        <v>43008</v>
      </c>
      <c r="B203" s="7">
        <v>1.6</v>
      </c>
      <c r="C203" s="7">
        <v>0.53890000000000005</v>
      </c>
      <c r="D203" s="7">
        <v>0.98729999999999996</v>
      </c>
      <c r="E203" s="7">
        <v>0.35980000000000001</v>
      </c>
      <c r="F203" s="7">
        <v>6.9</v>
      </c>
      <c r="G203" s="7">
        <v>1</v>
      </c>
    </row>
    <row r="204" spans="1:7" x14ac:dyDescent="0.3">
      <c r="A204" s="8">
        <v>43039</v>
      </c>
      <c r="B204" s="7">
        <v>1.9</v>
      </c>
      <c r="C204" s="7">
        <v>0.11219999999999999</v>
      </c>
      <c r="D204" s="7">
        <v>1.3324</v>
      </c>
      <c r="E204" s="7">
        <v>0.2969</v>
      </c>
      <c r="F204" s="7">
        <v>6.9</v>
      </c>
      <c r="G204" s="7">
        <v>0.7</v>
      </c>
    </row>
    <row r="205" spans="1:7" x14ac:dyDescent="0.3">
      <c r="A205" s="8">
        <v>43069</v>
      </c>
      <c r="B205" s="7">
        <v>1.7</v>
      </c>
      <c r="C205" s="7">
        <v>1.2800000000000001E-2</v>
      </c>
      <c r="D205" s="7">
        <v>1.2796000000000001</v>
      </c>
      <c r="E205" s="7">
        <v>0.2346</v>
      </c>
      <c r="F205" s="7">
        <v>5.8</v>
      </c>
      <c r="G205" s="7">
        <v>0.5</v>
      </c>
    </row>
    <row r="206" spans="1:7" x14ac:dyDescent="0.3">
      <c r="A206" s="8">
        <v>43100</v>
      </c>
      <c r="B206" s="7">
        <v>1.8</v>
      </c>
      <c r="C206" s="7">
        <v>0.3</v>
      </c>
      <c r="D206" s="7">
        <v>1.4211</v>
      </c>
      <c r="E206" s="7">
        <v>0.40789999999999998</v>
      </c>
      <c r="F206" s="7">
        <v>4.9000000000000004</v>
      </c>
      <c r="G206" s="7">
        <v>0.8</v>
      </c>
    </row>
    <row r="207" spans="1:7" x14ac:dyDescent="0.3">
      <c r="A207" s="8">
        <v>43131</v>
      </c>
      <c r="B207" s="7">
        <v>1.5</v>
      </c>
      <c r="C207" s="7">
        <v>0.6</v>
      </c>
      <c r="D207" s="7">
        <v>1.2579</v>
      </c>
      <c r="E207" s="7">
        <v>0.60589999999999999</v>
      </c>
      <c r="F207" s="7">
        <v>4.3</v>
      </c>
      <c r="G207" s="7">
        <v>0.3</v>
      </c>
    </row>
    <row r="208" spans="1:7" x14ac:dyDescent="0.3">
      <c r="A208" s="8">
        <v>43159</v>
      </c>
      <c r="B208" s="7">
        <v>2.9</v>
      </c>
      <c r="C208" s="7">
        <v>1.2</v>
      </c>
      <c r="D208" s="7">
        <v>2.0131999999999999</v>
      </c>
      <c r="E208" s="7">
        <v>0.71899999999999997</v>
      </c>
      <c r="F208" s="7">
        <v>3.7</v>
      </c>
      <c r="G208" s="7">
        <v>-0.1</v>
      </c>
    </row>
    <row r="209" spans="1:7" x14ac:dyDescent="0.3">
      <c r="A209" s="8">
        <v>43190</v>
      </c>
      <c r="B209" s="7">
        <v>2.1</v>
      </c>
      <c r="C209" s="7">
        <v>-1.1000000000000001</v>
      </c>
      <c r="D209" s="7">
        <v>1.4399</v>
      </c>
      <c r="E209" s="7">
        <v>-0.8619</v>
      </c>
      <c r="F209" s="7">
        <v>3.1</v>
      </c>
      <c r="G209" s="7">
        <v>-0.2</v>
      </c>
    </row>
    <row r="210" spans="1:7" x14ac:dyDescent="0.3">
      <c r="A210" s="8">
        <v>43220</v>
      </c>
      <c r="B210" s="7">
        <v>1.8</v>
      </c>
      <c r="C210" s="7">
        <v>-0.2</v>
      </c>
      <c r="D210" s="7">
        <v>1.3755999999999999</v>
      </c>
      <c r="E210" s="7">
        <v>-0.1268</v>
      </c>
      <c r="F210" s="7">
        <v>3.4</v>
      </c>
      <c r="G210" s="7">
        <v>-0.2</v>
      </c>
    </row>
    <row r="211" spans="1:7" x14ac:dyDescent="0.3">
      <c r="A211" s="8">
        <v>43251</v>
      </c>
      <c r="B211" s="7">
        <v>1.8</v>
      </c>
      <c r="C211" s="7">
        <v>-0.2</v>
      </c>
      <c r="D211" s="7">
        <v>1.5355000000000001</v>
      </c>
      <c r="E211" s="7">
        <v>6.4000000000000003E-3</v>
      </c>
      <c r="F211" s="7">
        <v>4.0999999999999996</v>
      </c>
      <c r="G211" s="7">
        <v>0.4</v>
      </c>
    </row>
    <row r="212" spans="1:7" x14ac:dyDescent="0.3">
      <c r="A212" s="8">
        <v>43281</v>
      </c>
      <c r="B212" s="7">
        <v>1.9</v>
      </c>
      <c r="C212" s="7">
        <v>-0.1</v>
      </c>
      <c r="D212" s="7">
        <v>1.8405</v>
      </c>
      <c r="E212" s="7">
        <v>-2.3400000000000001E-2</v>
      </c>
      <c r="F212" s="7">
        <v>4.7</v>
      </c>
      <c r="G212" s="7">
        <v>0.3</v>
      </c>
    </row>
    <row r="213" spans="1:7" x14ac:dyDescent="0.3">
      <c r="A213" s="8">
        <v>43312</v>
      </c>
      <c r="B213" s="7">
        <v>2.1</v>
      </c>
      <c r="C213" s="7">
        <v>0.3</v>
      </c>
      <c r="D213" s="7">
        <v>2.1751</v>
      </c>
      <c r="E213" s="7">
        <v>0.1183</v>
      </c>
      <c r="F213" s="7">
        <v>4.5999999999999996</v>
      </c>
      <c r="G213" s="7">
        <v>0.1</v>
      </c>
    </row>
    <row r="214" spans="1:7" x14ac:dyDescent="0.3">
      <c r="A214" s="8">
        <v>43343</v>
      </c>
      <c r="B214" s="7">
        <v>2.2999999999999998</v>
      </c>
      <c r="C214" s="7">
        <v>0.7</v>
      </c>
      <c r="D214" s="7">
        <v>2.2665000000000002</v>
      </c>
      <c r="E214" s="7">
        <v>0.51629999999999998</v>
      </c>
      <c r="F214" s="7">
        <v>4.0999999999999996</v>
      </c>
      <c r="G214" s="7">
        <v>0.4</v>
      </c>
    </row>
    <row r="215" spans="1:7" x14ac:dyDescent="0.3">
      <c r="A215" s="8">
        <v>43373</v>
      </c>
      <c r="B215" s="7">
        <v>2.5</v>
      </c>
      <c r="C215" s="7">
        <v>0.7</v>
      </c>
      <c r="D215" s="7">
        <v>2.6463000000000001</v>
      </c>
      <c r="E215" s="7">
        <v>0.73250000000000004</v>
      </c>
      <c r="F215" s="7">
        <v>3.6</v>
      </c>
      <c r="G215" s="7">
        <v>0.6</v>
      </c>
    </row>
    <row r="216" spans="1:7" x14ac:dyDescent="0.3">
      <c r="A216" s="8">
        <v>43404</v>
      </c>
      <c r="B216" s="7">
        <v>2.5</v>
      </c>
      <c r="C216" s="7">
        <v>0.2</v>
      </c>
      <c r="D216" s="7">
        <v>2.7942999999999998</v>
      </c>
      <c r="E216" s="7">
        <v>0.4415</v>
      </c>
      <c r="F216" s="7">
        <v>3.3</v>
      </c>
      <c r="G216" s="7">
        <v>0.4</v>
      </c>
    </row>
    <row r="217" spans="1:7" x14ac:dyDescent="0.3">
      <c r="A217" s="8">
        <v>43434</v>
      </c>
      <c r="B217" s="7">
        <v>2.2000000000000002</v>
      </c>
      <c r="C217" s="7">
        <v>-0.3</v>
      </c>
      <c r="D217" s="7">
        <v>2.1520999999999999</v>
      </c>
      <c r="E217" s="7">
        <v>-0.3916</v>
      </c>
      <c r="F217" s="7">
        <v>2.7</v>
      </c>
      <c r="G217" s="7">
        <v>-0.2</v>
      </c>
    </row>
    <row r="218" spans="1:7" x14ac:dyDescent="0.3">
      <c r="A218" s="8">
        <v>43465</v>
      </c>
      <c r="B218" s="7">
        <v>1.9</v>
      </c>
      <c r="C218" s="7">
        <v>0</v>
      </c>
      <c r="D218" s="7">
        <v>1.4330000000000001</v>
      </c>
      <c r="E218" s="7">
        <v>-0.29899999999999999</v>
      </c>
      <c r="F218" s="7">
        <v>0.9</v>
      </c>
      <c r="G218" s="7">
        <v>-1</v>
      </c>
    </row>
    <row r="219" spans="1:7" x14ac:dyDescent="0.3">
      <c r="A219" s="8">
        <v>43496</v>
      </c>
      <c r="B219" s="7">
        <v>1.7</v>
      </c>
      <c r="C219" s="7">
        <v>0.5</v>
      </c>
      <c r="D219" s="7">
        <v>0.95750000000000002</v>
      </c>
      <c r="E219" s="7">
        <v>0.13439999999999999</v>
      </c>
      <c r="F219" s="7">
        <v>0.1</v>
      </c>
      <c r="G219" s="7">
        <v>-0.6</v>
      </c>
    </row>
    <row r="220" spans="1:7" x14ac:dyDescent="0.3">
      <c r="A220" s="8">
        <v>43524</v>
      </c>
      <c r="B220" s="7">
        <v>1.5</v>
      </c>
      <c r="C220" s="7">
        <v>1</v>
      </c>
      <c r="D220" s="7">
        <v>1.0008999999999999</v>
      </c>
      <c r="E220" s="7">
        <v>0.76229999999999998</v>
      </c>
      <c r="F220" s="7">
        <v>0.1</v>
      </c>
      <c r="G220" s="7">
        <v>-0.1</v>
      </c>
    </row>
    <row r="221" spans="1:7" x14ac:dyDescent="0.3">
      <c r="A221" s="8">
        <v>43555</v>
      </c>
      <c r="B221" s="7">
        <v>2.2999999999999998</v>
      </c>
      <c r="C221" s="7">
        <v>-0.4</v>
      </c>
      <c r="D221" s="7">
        <v>1.9152</v>
      </c>
      <c r="E221" s="7">
        <v>3.5499999999999997E-2</v>
      </c>
      <c r="F221" s="7">
        <v>0.4</v>
      </c>
      <c r="G221" s="7">
        <v>0.1</v>
      </c>
    </row>
    <row r="222" spans="1:7" x14ac:dyDescent="0.3">
      <c r="A222" s="8">
        <v>43585</v>
      </c>
      <c r="B222" s="7">
        <v>2.5</v>
      </c>
      <c r="C222" s="7">
        <v>0.1</v>
      </c>
      <c r="D222" s="7">
        <v>1.9931000000000001</v>
      </c>
      <c r="E222" s="7">
        <v>-5.0500000000000003E-2</v>
      </c>
      <c r="F222" s="7">
        <v>0.9</v>
      </c>
      <c r="G222" s="7">
        <v>0.3</v>
      </c>
    </row>
    <row r="223" spans="1:7" x14ac:dyDescent="0.3">
      <c r="A223" s="8">
        <v>43616</v>
      </c>
      <c r="B223" s="7">
        <v>2.7</v>
      </c>
      <c r="C223" s="7">
        <v>0</v>
      </c>
      <c r="D223" s="7">
        <v>2.1</v>
      </c>
      <c r="E223" s="7">
        <v>0.1</v>
      </c>
      <c r="F223" s="7">
        <v>0.6</v>
      </c>
      <c r="G223" s="7">
        <v>0.2</v>
      </c>
    </row>
    <row r="224" spans="1:7" x14ac:dyDescent="0.3">
      <c r="A224" s="8">
        <v>43646</v>
      </c>
      <c r="B224" s="7">
        <v>2.7</v>
      </c>
      <c r="C224" s="7">
        <v>-0.1</v>
      </c>
      <c r="D224" s="7">
        <v>1.8051140000000001</v>
      </c>
      <c r="E224" s="7">
        <v>-0.27052399999999999</v>
      </c>
      <c r="F224" s="7">
        <v>0</v>
      </c>
      <c r="G224" s="7">
        <v>-0.3</v>
      </c>
    </row>
    <row r="225" spans="1:7" x14ac:dyDescent="0.3">
      <c r="A225" s="8">
        <v>43677</v>
      </c>
      <c r="B225" s="7">
        <v>2.8</v>
      </c>
      <c r="C225" s="7">
        <v>0.4</v>
      </c>
      <c r="D225" s="7">
        <v>1.7688079999999999</v>
      </c>
      <c r="E225" s="7">
        <v>8.2587999999999995E-2</v>
      </c>
      <c r="F225" s="7">
        <v>-0.3</v>
      </c>
      <c r="G225" s="7">
        <v>-0.2</v>
      </c>
    </row>
    <row r="226" spans="1:7" x14ac:dyDescent="0.3">
      <c r="A226" s="8">
        <v>43708</v>
      </c>
      <c r="B226" s="7">
        <v>2.8</v>
      </c>
      <c r="C226" s="7">
        <v>0.7</v>
      </c>
      <c r="D226" s="7">
        <v>1.794019</v>
      </c>
      <c r="E226" s="7">
        <v>0.54123200000000005</v>
      </c>
      <c r="F226" s="7">
        <v>-0.8</v>
      </c>
      <c r="G226" s="7">
        <v>-0.1</v>
      </c>
    </row>
    <row r="227" spans="1:7" x14ac:dyDescent="0.3">
      <c r="A227" s="8">
        <v>43738</v>
      </c>
      <c r="B227" s="7">
        <v>3</v>
      </c>
      <c r="C227" s="7">
        <v>0.9</v>
      </c>
      <c r="D227" s="7">
        <v>1.9</v>
      </c>
      <c r="E227" s="7">
        <v>0.8</v>
      </c>
      <c r="F227" s="7">
        <v>-1.2</v>
      </c>
      <c r="G227" s="7">
        <v>0.1</v>
      </c>
    </row>
    <row r="228" spans="1:7" x14ac:dyDescent="0.3">
      <c r="A228" s="8">
        <v>43769</v>
      </c>
      <c r="B228" s="7">
        <v>3.8</v>
      </c>
      <c r="C228" s="7">
        <v>0.9</v>
      </c>
      <c r="D228" s="7">
        <v>2.2413750000000001</v>
      </c>
      <c r="E228" s="7">
        <v>0.78420299999999998</v>
      </c>
      <c r="F228" s="7">
        <v>-1.6</v>
      </c>
      <c r="G228" s="7">
        <v>0.1</v>
      </c>
    </row>
    <row r="229" spans="1:7" x14ac:dyDescent="0.3">
      <c r="A229" s="8">
        <v>43799</v>
      </c>
      <c r="B229" s="7">
        <v>4.5</v>
      </c>
      <c r="C229" s="7">
        <v>0.4</v>
      </c>
      <c r="D229" s="7">
        <v>3.0403210000000001</v>
      </c>
      <c r="E229" s="7">
        <v>0.38677699999999998</v>
      </c>
      <c r="F229" s="7">
        <v>-1.4</v>
      </c>
      <c r="G229" s="7">
        <v>-0.1</v>
      </c>
    </row>
    <row r="230" spans="1:7" x14ac:dyDescent="0.3">
      <c r="A230" s="8">
        <v>43830</v>
      </c>
      <c r="B230" s="7">
        <v>4.5</v>
      </c>
      <c r="C230" s="7">
        <v>0</v>
      </c>
      <c r="D230" s="7">
        <v>3.4178320000000002</v>
      </c>
      <c r="E230" s="7">
        <v>6.6267000000000006E-2</v>
      </c>
      <c r="F230" s="7">
        <v>-0.5</v>
      </c>
      <c r="G230" s="7">
        <v>0</v>
      </c>
    </row>
    <row r="231" spans="1:7" x14ac:dyDescent="0.3">
      <c r="A231" s="8">
        <v>43861</v>
      </c>
      <c r="B231" s="7">
        <v>5.4</v>
      </c>
      <c r="C231" s="7">
        <v>1.4</v>
      </c>
      <c r="D231" s="7">
        <v>4.3403499999999999</v>
      </c>
      <c r="E231" s="7">
        <v>1.027598</v>
      </c>
      <c r="F231" s="7">
        <v>0.1</v>
      </c>
      <c r="G231" s="7">
        <v>0</v>
      </c>
    </row>
    <row r="232" spans="1:7" x14ac:dyDescent="0.3">
      <c r="A232" s="8">
        <v>43890</v>
      </c>
      <c r="B232" s="7">
        <v>5.2</v>
      </c>
      <c r="C232" s="7">
        <v>0.8</v>
      </c>
      <c r="D232" s="7">
        <v>4.2070869999999996</v>
      </c>
      <c r="E232" s="7">
        <v>0.63365099999999996</v>
      </c>
      <c r="F232" s="7">
        <v>-0.4</v>
      </c>
      <c r="G232" s="7">
        <v>-0.5</v>
      </c>
    </row>
    <row r="233" spans="1:7" x14ac:dyDescent="0.3">
      <c r="A233" s="8">
        <v>43921</v>
      </c>
      <c r="B233" s="7">
        <v>4.3</v>
      </c>
      <c r="C233" s="7">
        <v>-1.2</v>
      </c>
      <c r="D233" s="7">
        <v>2.7723070000000001</v>
      </c>
      <c r="E233" s="7">
        <v>-1.341872</v>
      </c>
      <c r="F233" s="7">
        <v>-1.5</v>
      </c>
      <c r="G233" s="7">
        <v>-1</v>
      </c>
    </row>
    <row r="234" spans="1:7" x14ac:dyDescent="0.3">
      <c r="A234" s="8">
        <v>43951</v>
      </c>
      <c r="B234" s="7">
        <v>3.3</v>
      </c>
      <c r="C234" s="7">
        <v>-0.9</v>
      </c>
      <c r="D234" s="7">
        <v>1.7410730000000001</v>
      </c>
      <c r="E234" s="7">
        <v>-1.0534019999999999</v>
      </c>
      <c r="F234" s="7">
        <v>-3.1</v>
      </c>
      <c r="G234" s="7">
        <v>-1.3</v>
      </c>
    </row>
    <row r="235" spans="1:7" x14ac:dyDescent="0.3">
      <c r="A235" s="8">
        <v>43982</v>
      </c>
      <c r="B235" s="7">
        <v>2.4</v>
      </c>
      <c r="C235" s="7">
        <v>-0.8</v>
      </c>
      <c r="D235" s="7">
        <v>0.91169800000000001</v>
      </c>
      <c r="E235" s="7">
        <v>-0.74632799999999999</v>
      </c>
      <c r="F235" s="7">
        <v>-3.7</v>
      </c>
      <c r="G235" s="7">
        <v>-0.4</v>
      </c>
    </row>
    <row r="236" spans="1:7" x14ac:dyDescent="0.3">
      <c r="A236" s="8">
        <v>44012</v>
      </c>
      <c r="B236" s="7">
        <v>2.5</v>
      </c>
      <c r="C236" s="7">
        <v>-0.1</v>
      </c>
      <c r="D236" s="7">
        <v>1.1094139999999999</v>
      </c>
      <c r="E236" s="7">
        <v>-7.5123999999999996E-2</v>
      </c>
      <c r="F236" s="7">
        <v>-3</v>
      </c>
      <c r="G236" s="7">
        <v>0.4</v>
      </c>
    </row>
    <row r="237" spans="1:7" x14ac:dyDescent="0.3">
      <c r="A237" s="8">
        <v>44043</v>
      </c>
      <c r="B237" s="7">
        <v>2.7</v>
      </c>
      <c r="C237" s="7">
        <v>0.6</v>
      </c>
      <c r="D237" s="7">
        <v>1.6539820000000001</v>
      </c>
      <c r="E237" s="7">
        <v>0.62162499999999998</v>
      </c>
      <c r="F237" s="7">
        <v>-2.4</v>
      </c>
      <c r="G237" s="7">
        <v>0.4</v>
      </c>
    </row>
    <row r="238" spans="1:7" x14ac:dyDescent="0.3">
      <c r="A238" s="8">
        <v>44074</v>
      </c>
      <c r="B238" s="7">
        <v>2.4</v>
      </c>
      <c r="C238" s="7">
        <v>0.4</v>
      </c>
      <c r="D238" s="7">
        <v>1.6130610000000001</v>
      </c>
      <c r="E238" s="7">
        <v>0.50075899999999995</v>
      </c>
      <c r="F238" s="7">
        <v>-2</v>
      </c>
      <c r="G238" s="7">
        <v>0.3</v>
      </c>
    </row>
    <row r="239" spans="1:7" x14ac:dyDescent="0.3">
      <c r="A239" s="8">
        <v>44104</v>
      </c>
      <c r="B239" s="7">
        <v>1.7</v>
      </c>
      <c r="C239" s="7">
        <v>0.2</v>
      </c>
      <c r="D239" s="7">
        <v>0.83287800000000001</v>
      </c>
      <c r="E239" s="7">
        <v>5.7033E-2</v>
      </c>
      <c r="F239" s="7">
        <v>-2.1</v>
      </c>
      <c r="G239" s="7">
        <v>0.1</v>
      </c>
    </row>
    <row r="240" spans="1:7" x14ac:dyDescent="0.3">
      <c r="A240" s="8">
        <v>44135</v>
      </c>
      <c r="B240" s="7">
        <v>0.5</v>
      </c>
      <c r="C240" s="7">
        <v>-0.3</v>
      </c>
      <c r="D240" s="7">
        <v>-0.3</v>
      </c>
      <c r="E240" s="7">
        <v>-0.4</v>
      </c>
      <c r="F240" s="7">
        <v>-2.1</v>
      </c>
      <c r="G240" s="7">
        <v>0</v>
      </c>
    </row>
    <row r="241" spans="1:7" x14ac:dyDescent="0.3">
      <c r="A241" s="8">
        <v>44165</v>
      </c>
      <c r="B241" s="7">
        <v>-0.5</v>
      </c>
      <c r="C241" s="7">
        <v>-0.6</v>
      </c>
      <c r="D241" s="7">
        <v>-1.1000000000000001</v>
      </c>
      <c r="E241" s="7">
        <v>-0.4</v>
      </c>
      <c r="F241" s="7">
        <v>-1.5</v>
      </c>
      <c r="G241" s="7">
        <v>0.5</v>
      </c>
    </row>
    <row r="242" spans="1:7" x14ac:dyDescent="0.3">
      <c r="A242" s="8">
        <v>44196</v>
      </c>
      <c r="B242" s="7">
        <v>0.2</v>
      </c>
      <c r="C242" s="7">
        <v>0.7</v>
      </c>
      <c r="D242" s="7">
        <v>-0.3</v>
      </c>
      <c r="E242" s="7">
        <v>0.9</v>
      </c>
      <c r="F242" s="7">
        <v>-0.4</v>
      </c>
      <c r="G242" s="7">
        <v>1.1000000000000001</v>
      </c>
    </row>
    <row r="243" spans="1:7" x14ac:dyDescent="0.3">
      <c r="A243" s="8">
        <v>44227</v>
      </c>
      <c r="B243" s="7">
        <v>-0.3</v>
      </c>
      <c r="C243" s="7">
        <v>1</v>
      </c>
      <c r="D243" s="7">
        <v>-0.5</v>
      </c>
      <c r="E243" s="7">
        <v>1</v>
      </c>
      <c r="F243" s="7">
        <v>0.3</v>
      </c>
      <c r="G243" s="7">
        <v>1</v>
      </c>
    </row>
    <row r="244" spans="1:7" x14ac:dyDescent="0.3">
      <c r="A244" s="8">
        <v>44255</v>
      </c>
      <c r="B244" s="7">
        <v>-0.2</v>
      </c>
      <c r="C244" s="7">
        <v>0.6</v>
      </c>
      <c r="D244" s="7">
        <v>-0.3</v>
      </c>
      <c r="E244" s="7">
        <v>0.5</v>
      </c>
      <c r="F244" s="7">
        <v>1.7</v>
      </c>
      <c r="G244" s="7">
        <v>0.8</v>
      </c>
    </row>
    <row r="245" spans="1:7" x14ac:dyDescent="0.3">
      <c r="A245" s="8">
        <v>44286</v>
      </c>
      <c r="B245" s="7">
        <v>0.4</v>
      </c>
      <c r="C245" s="7">
        <v>-0.5</v>
      </c>
      <c r="D245" s="7">
        <v>0.9</v>
      </c>
      <c r="E245" s="7">
        <v>-0.1</v>
      </c>
      <c r="F245" s="7">
        <v>4.4000000000000004</v>
      </c>
      <c r="G245" s="7">
        <v>1.6</v>
      </c>
    </row>
    <row r="246" spans="1:7" x14ac:dyDescent="0.3">
      <c r="A246" s="8">
        <v>44316</v>
      </c>
      <c r="B246" s="7">
        <v>0.9</v>
      </c>
      <c r="C246" s="7">
        <v>-0.3</v>
      </c>
      <c r="D246" s="7">
        <v>1.6</v>
      </c>
      <c r="E246" s="7">
        <v>-0.3</v>
      </c>
      <c r="F246" s="7">
        <v>6.8</v>
      </c>
      <c r="G246" s="7">
        <v>0.9</v>
      </c>
    </row>
    <row r="247" spans="1:7" x14ac:dyDescent="0.3">
      <c r="A247" s="8">
        <v>44347</v>
      </c>
      <c r="B247" s="7">
        <v>1.3</v>
      </c>
      <c r="C247" s="7">
        <v>-0.2</v>
      </c>
      <c r="D247" s="7">
        <v>2.1</v>
      </c>
      <c r="E247" s="7">
        <v>0</v>
      </c>
      <c r="F247" s="7">
        <v>9</v>
      </c>
      <c r="G247" s="7">
        <v>1.6</v>
      </c>
    </row>
    <row r="248" spans="1:7" x14ac:dyDescent="0.3">
      <c r="A248" s="8">
        <v>44377</v>
      </c>
      <c r="B248" s="7">
        <v>1.1000000000000001</v>
      </c>
      <c r="C248" s="7">
        <v>-0.4</v>
      </c>
      <c r="D248" s="7">
        <v>2.1</v>
      </c>
      <c r="E248" s="7">
        <v>-0.2</v>
      </c>
      <c r="F248" s="7">
        <v>8.8000000000000007</v>
      </c>
      <c r="G248" s="7">
        <v>0.3</v>
      </c>
    </row>
    <row r="249" spans="1:7" x14ac:dyDescent="0.3">
      <c r="A249" s="8">
        <v>44408</v>
      </c>
      <c r="B249" s="7">
        <v>1</v>
      </c>
      <c r="C249" s="7">
        <v>0.3</v>
      </c>
      <c r="D249" s="7">
        <v>1.9</v>
      </c>
      <c r="E249" s="7">
        <v>0.3</v>
      </c>
      <c r="F249" s="7">
        <v>9</v>
      </c>
      <c r="G249" s="7">
        <v>0.5</v>
      </c>
    </row>
    <row r="250" spans="1:7" x14ac:dyDescent="0.3">
      <c r="A250" s="8">
        <v>44439</v>
      </c>
      <c r="B250" s="7">
        <v>0.8</v>
      </c>
      <c r="C250" s="7">
        <v>0.1</v>
      </c>
      <c r="D250" s="7">
        <v>1.6</v>
      </c>
      <c r="E250" s="7">
        <v>0</v>
      </c>
      <c r="F250" s="7">
        <v>9.5</v>
      </c>
      <c r="G250" s="7">
        <v>0.7</v>
      </c>
    </row>
    <row r="251" spans="1:7" x14ac:dyDescent="0.3">
      <c r="A251" s="8">
        <v>44469</v>
      </c>
      <c r="B251" s="7">
        <v>0.7</v>
      </c>
      <c r="C251" s="7">
        <v>0</v>
      </c>
      <c r="D251" s="7">
        <v>1.8</v>
      </c>
      <c r="E251" s="7">
        <v>0.1</v>
      </c>
      <c r="F251" s="7">
        <v>10.7</v>
      </c>
      <c r="G251" s="7">
        <v>1.2</v>
      </c>
    </row>
    <row r="252" spans="1:7" x14ac:dyDescent="0.3">
      <c r="A252" s="8">
        <v>44500</v>
      </c>
      <c r="B252" s="7">
        <v>1.5</v>
      </c>
      <c r="C252" s="7">
        <v>0.7</v>
      </c>
      <c r="D252" s="7">
        <v>2.9</v>
      </c>
      <c r="E252" s="7">
        <v>1</v>
      </c>
      <c r="F252" s="7">
        <v>13.5</v>
      </c>
      <c r="G252" s="7">
        <v>2.5</v>
      </c>
    </row>
    <row r="253" spans="1:7" x14ac:dyDescent="0.3">
      <c r="A253" s="8">
        <v>44530</v>
      </c>
      <c r="B253" s="7">
        <v>2.2999999999999998</v>
      </c>
      <c r="C253" s="7">
        <v>0.4</v>
      </c>
      <c r="D253" s="7">
        <v>3.4</v>
      </c>
      <c r="E253" s="7">
        <v>0.4</v>
      </c>
      <c r="F253" s="7">
        <v>12.9</v>
      </c>
      <c r="G253" s="7">
        <v>0</v>
      </c>
    </row>
    <row r="254" spans="1:7" x14ac:dyDescent="0.3">
      <c r="A254" s="8">
        <v>44561</v>
      </c>
      <c r="B254" s="7">
        <v>1.5</v>
      </c>
      <c r="C254" s="7">
        <v>-0.3</v>
      </c>
      <c r="D254" s="7">
        <v>2.2000000000000002</v>
      </c>
      <c r="E254" s="7">
        <v>-0.5</v>
      </c>
      <c r="F254" s="7">
        <v>10.3</v>
      </c>
      <c r="G254" s="7">
        <v>-1.2</v>
      </c>
    </row>
    <row r="255" spans="1:7" x14ac:dyDescent="0.3">
      <c r="A255" s="8">
        <v>44592</v>
      </c>
      <c r="B255" s="7">
        <v>0.9</v>
      </c>
      <c r="C255" s="7">
        <v>0.4</v>
      </c>
      <c r="D255" s="7">
        <v>1.5</v>
      </c>
      <c r="E255" s="7">
        <v>0.3</v>
      </c>
      <c r="F255" s="7">
        <v>9.1</v>
      </c>
      <c r="G255" s="7">
        <v>-0.2</v>
      </c>
    </row>
    <row r="256" spans="1:7" x14ac:dyDescent="0.3">
      <c r="A256" s="8">
        <v>44620</v>
      </c>
      <c r="B256" s="7">
        <v>0.9</v>
      </c>
      <c r="C256" s="7">
        <v>0.6</v>
      </c>
      <c r="D256" s="7">
        <v>1.9</v>
      </c>
      <c r="E256" s="7">
        <v>0.8</v>
      </c>
      <c r="F256" s="7">
        <v>8.8000000000000007</v>
      </c>
      <c r="G256" s="7">
        <v>0.5</v>
      </c>
    </row>
    <row r="257" spans="1:7" x14ac:dyDescent="0.3">
      <c r="A257" s="8">
        <v>44651</v>
      </c>
      <c r="B257" s="7">
        <v>1.5</v>
      </c>
      <c r="C257" s="7">
        <v>0</v>
      </c>
      <c r="D257" s="7">
        <v>2.7</v>
      </c>
      <c r="E257" s="7">
        <v>0.6</v>
      </c>
      <c r="F257" s="7">
        <v>8.3000000000000007</v>
      </c>
      <c r="G257" s="7">
        <v>1.1000000000000001</v>
      </c>
    </row>
    <row r="258" spans="1:7" x14ac:dyDescent="0.3">
      <c r="A258" s="8">
        <v>44681</v>
      </c>
      <c r="B258" s="7">
        <v>2.1</v>
      </c>
      <c r="C258" s="7">
        <v>0.4</v>
      </c>
      <c r="D258" s="7">
        <v>3.4</v>
      </c>
      <c r="E258" s="7">
        <v>0.4</v>
      </c>
      <c r="F258" s="7">
        <v>8</v>
      </c>
      <c r="G258" s="7">
        <v>0.6</v>
      </c>
    </row>
    <row r="259" spans="1:7" x14ac:dyDescent="0.3">
      <c r="A259" s="8">
        <v>44712</v>
      </c>
      <c r="B259" s="7">
        <v>2.1</v>
      </c>
      <c r="C259" s="7">
        <v>-0.2</v>
      </c>
      <c r="D259" s="7">
        <v>3.3</v>
      </c>
      <c r="E259" s="7">
        <v>-0.1</v>
      </c>
      <c r="F259" s="7">
        <v>6.4</v>
      </c>
      <c r="G259" s="7">
        <v>0.1</v>
      </c>
    </row>
    <row r="260" spans="1:7" x14ac:dyDescent="0.3">
      <c r="A260" s="8">
        <v>44742</v>
      </c>
      <c r="B260" s="7">
        <v>2.5</v>
      </c>
      <c r="C260" s="7">
        <v>0</v>
      </c>
      <c r="D260" s="7">
        <v>3.7</v>
      </c>
      <c r="E260" s="7">
        <v>0.2</v>
      </c>
      <c r="F260" s="7">
        <v>6.1</v>
      </c>
      <c r="G260" s="7">
        <v>0</v>
      </c>
    </row>
    <row r="261" spans="1:7" x14ac:dyDescent="0.3">
      <c r="A261" s="8">
        <v>44773</v>
      </c>
      <c r="B261" s="7">
        <v>2.7</v>
      </c>
      <c r="C261" s="7">
        <v>0.5</v>
      </c>
      <c r="D261" s="7">
        <v>3.5</v>
      </c>
      <c r="E261" s="7">
        <v>0.1</v>
      </c>
      <c r="F261" s="7">
        <v>4.2</v>
      </c>
      <c r="G261" s="7">
        <v>-1.3</v>
      </c>
    </row>
    <row r="262" spans="1:7" x14ac:dyDescent="0.3">
      <c r="A262" s="8">
        <v>44804</v>
      </c>
      <c r="B262" s="7">
        <v>2.5</v>
      </c>
      <c r="C262" s="7">
        <v>-0.1</v>
      </c>
      <c r="D262" s="7">
        <v>3.1</v>
      </c>
      <c r="E262" s="7">
        <v>-0.4</v>
      </c>
      <c r="F262" s="7">
        <v>2.2999999999999998</v>
      </c>
      <c r="G262" s="7">
        <v>-1.2</v>
      </c>
    </row>
    <row r="263" spans="1:7" x14ac:dyDescent="0.3">
      <c r="A263" s="8">
        <v>44834</v>
      </c>
      <c r="B263" s="7">
        <v>2.8</v>
      </c>
      <c r="C263" s="7">
        <v>0.3</v>
      </c>
      <c r="D263" s="7">
        <v>3.2</v>
      </c>
      <c r="E263" s="7">
        <v>0.3</v>
      </c>
      <c r="F263" s="7">
        <v>0.9</v>
      </c>
      <c r="G263" s="7">
        <v>-0.1</v>
      </c>
    </row>
    <row r="264" spans="1:7" x14ac:dyDescent="0.3">
      <c r="A264" s="8">
        <v>44865</v>
      </c>
      <c r="B264" s="7">
        <v>2.1</v>
      </c>
      <c r="C264" s="7">
        <v>0.1</v>
      </c>
      <c r="D264" s="7">
        <v>2.2999999999999998</v>
      </c>
      <c r="E264" s="7">
        <v>0.1</v>
      </c>
      <c r="F264" s="7">
        <v>-1.3</v>
      </c>
      <c r="G264" s="7">
        <v>0.2</v>
      </c>
    </row>
    <row r="265" spans="1:7" x14ac:dyDescent="0.3">
      <c r="A265" s="8">
        <v>44895</v>
      </c>
      <c r="B265" s="7">
        <v>1.6</v>
      </c>
      <c r="C265" s="7">
        <v>-0.2</v>
      </c>
      <c r="D265" s="7">
        <v>1.8</v>
      </c>
      <c r="E265" s="7">
        <v>-0.1</v>
      </c>
      <c r="F265" s="7">
        <v>-1.3</v>
      </c>
      <c r="G265" s="7">
        <v>0.1</v>
      </c>
    </row>
    <row r="266" spans="1:7" x14ac:dyDescent="0.3">
      <c r="A266" s="8">
        <v>44926</v>
      </c>
      <c r="B266" s="7">
        <v>1.8</v>
      </c>
      <c r="C266" s="7">
        <v>0</v>
      </c>
      <c r="D266" s="7">
        <v>2</v>
      </c>
      <c r="E266" s="7">
        <v>-0.3</v>
      </c>
      <c r="F266" s="7">
        <v>-0.7</v>
      </c>
      <c r="G266" s="7">
        <v>-0.5</v>
      </c>
    </row>
    <row r="267" spans="1:7" x14ac:dyDescent="0.3">
      <c r="A267" s="8">
        <v>44957</v>
      </c>
      <c r="B267" s="7">
        <v>2.1</v>
      </c>
      <c r="C267" s="7">
        <v>0.8</v>
      </c>
      <c r="D267" s="7">
        <v>0</v>
      </c>
      <c r="E267" s="7">
        <v>0</v>
      </c>
      <c r="F267" s="7">
        <v>-0.8</v>
      </c>
      <c r="G267" s="7">
        <v>-0.4</v>
      </c>
    </row>
    <row r="268" spans="1:7" x14ac:dyDescent="0.3">
      <c r="A268" s="8">
        <v>44985</v>
      </c>
      <c r="B268" s="7">
        <v>1</v>
      </c>
      <c r="C268" s="7">
        <v>-0.5</v>
      </c>
      <c r="D268" s="7">
        <v>0</v>
      </c>
      <c r="E268" s="7">
        <v>0</v>
      </c>
      <c r="F268" s="7">
        <v>-1.4</v>
      </c>
      <c r="G268" s="7">
        <v>0</v>
      </c>
    </row>
    <row r="269" spans="1:7" x14ac:dyDescent="0.3">
      <c r="A269" s="8">
        <v>45016</v>
      </c>
      <c r="B269" s="7">
        <v>0.7</v>
      </c>
      <c r="C269" s="7">
        <v>-0.3</v>
      </c>
      <c r="D269" s="7">
        <v>0</v>
      </c>
      <c r="E269" s="7">
        <v>0</v>
      </c>
      <c r="F269" s="7">
        <v>-2.5</v>
      </c>
      <c r="G269" s="7">
        <v>0</v>
      </c>
    </row>
    <row r="270" spans="1:7" x14ac:dyDescent="0.3">
      <c r="A270" s="8">
        <v>45046</v>
      </c>
      <c r="B270" s="7">
        <v>0.1</v>
      </c>
      <c r="C270" s="7">
        <v>-0.1</v>
      </c>
      <c r="D270" s="7">
        <v>0</v>
      </c>
      <c r="E270" s="7">
        <v>0</v>
      </c>
      <c r="F270" s="7">
        <v>-3.6</v>
      </c>
      <c r="G270" s="7">
        <v>-0.5</v>
      </c>
    </row>
    <row r="271" spans="1:7" x14ac:dyDescent="0.3">
      <c r="A271" s="8">
        <v>45077</v>
      </c>
      <c r="B271" s="7">
        <v>0.2</v>
      </c>
      <c r="C271" s="7">
        <v>-0.2</v>
      </c>
      <c r="D271" s="7">
        <v>0</v>
      </c>
      <c r="E271" s="7">
        <v>0</v>
      </c>
      <c r="F271" s="7">
        <v>-4.5999999999999996</v>
      </c>
      <c r="G271" s="7">
        <v>-0.9</v>
      </c>
    </row>
    <row r="272" spans="1:7" x14ac:dyDescent="0.3">
      <c r="A272" s="8">
        <v>45107</v>
      </c>
      <c r="B272" s="7">
        <v>0</v>
      </c>
      <c r="C272" s="7">
        <v>-0.2</v>
      </c>
      <c r="D272" s="7">
        <v>0</v>
      </c>
      <c r="E272" s="7">
        <v>0</v>
      </c>
      <c r="F272" s="7">
        <v>-5.4</v>
      </c>
      <c r="G272" s="7">
        <v>-0.8</v>
      </c>
    </row>
    <row r="273" spans="1:7" x14ac:dyDescent="0.3">
      <c r="A273" s="8">
        <v>45138</v>
      </c>
      <c r="B273" s="7">
        <v>-0.3</v>
      </c>
      <c r="C273" s="7">
        <v>0.2</v>
      </c>
      <c r="D273" s="7">
        <v>0</v>
      </c>
      <c r="E273" s="7">
        <v>0</v>
      </c>
      <c r="F273" s="7">
        <v>-4.4000000000000004</v>
      </c>
      <c r="G273" s="7">
        <v>-0.2</v>
      </c>
    </row>
    <row r="274" spans="1:7" x14ac:dyDescent="0.3">
      <c r="A274" s="8">
        <v>45169</v>
      </c>
      <c r="B274" s="7">
        <v>0.1</v>
      </c>
      <c r="C274" s="7">
        <v>0.3</v>
      </c>
      <c r="D274" s="7">
        <v>0</v>
      </c>
      <c r="E274" s="7">
        <v>0</v>
      </c>
      <c r="F274" s="7">
        <v>-3</v>
      </c>
      <c r="G274" s="7">
        <v>0.2</v>
      </c>
    </row>
    <row r="275" spans="1:7" x14ac:dyDescent="0.3">
      <c r="A275" s="8">
        <v>45199</v>
      </c>
      <c r="B275" s="7">
        <v>0</v>
      </c>
      <c r="C275" s="7">
        <v>0.2</v>
      </c>
      <c r="D275" s="7">
        <v>0</v>
      </c>
      <c r="E275" s="7">
        <v>0</v>
      </c>
      <c r="F275" s="7">
        <v>-2.5</v>
      </c>
      <c r="G275" s="7">
        <v>0.4</v>
      </c>
    </row>
    <row r="276" spans="1:7" x14ac:dyDescent="0.3">
      <c r="A276" s="8">
        <v>45230</v>
      </c>
      <c r="B276" s="7">
        <v>-0.2</v>
      </c>
      <c r="C276" s="7">
        <v>-0.1</v>
      </c>
      <c r="D276" s="7">
        <v>0</v>
      </c>
      <c r="E276" s="7">
        <v>0</v>
      </c>
      <c r="F276" s="7">
        <v>-2.6</v>
      </c>
      <c r="G276" s="7">
        <v>0</v>
      </c>
    </row>
    <row r="277" spans="1:7" x14ac:dyDescent="0.3">
      <c r="A277" s="8">
        <v>45260</v>
      </c>
      <c r="B277" s="7">
        <v>-0.5</v>
      </c>
      <c r="C277" s="7">
        <v>-0.5</v>
      </c>
      <c r="D277" s="7">
        <v>0</v>
      </c>
      <c r="E277" s="7">
        <v>0</v>
      </c>
      <c r="F277" s="7">
        <v>-3</v>
      </c>
      <c r="G277" s="7">
        <v>-0.3</v>
      </c>
    </row>
    <row r="278" spans="1:7" x14ac:dyDescent="0.3">
      <c r="A278" s="8">
        <v>45291</v>
      </c>
      <c r="B278" s="7">
        <v>-0.3</v>
      </c>
      <c r="C278" s="7">
        <v>0.1</v>
      </c>
      <c r="D278" s="7">
        <v>0</v>
      </c>
      <c r="E278" s="7">
        <v>0</v>
      </c>
      <c r="F278" s="7">
        <v>-2.7</v>
      </c>
      <c r="G278" s="7">
        <v>-0.3</v>
      </c>
    </row>
    <row r="279" spans="1:7" x14ac:dyDescent="0.3">
      <c r="A279" s="8">
        <v>45322</v>
      </c>
      <c r="B279" s="7">
        <v>-0.8</v>
      </c>
      <c r="C279" s="7">
        <v>0.3</v>
      </c>
      <c r="D279" s="7">
        <v>0</v>
      </c>
      <c r="E279" s="7">
        <v>0</v>
      </c>
      <c r="F279" s="7">
        <v>-2.5</v>
      </c>
      <c r="G279" s="7">
        <v>-0.2</v>
      </c>
    </row>
    <row r="280" spans="1:7" x14ac:dyDescent="0.3">
      <c r="A280" s="8">
        <v>45351</v>
      </c>
      <c r="B280" s="7">
        <v>0.7</v>
      </c>
      <c r="C280" s="7">
        <v>1</v>
      </c>
      <c r="D280" s="7">
        <v>0</v>
      </c>
      <c r="E280" s="7">
        <v>0</v>
      </c>
      <c r="F280" s="7">
        <v>-2.7</v>
      </c>
      <c r="G280" s="7">
        <v>-0.2</v>
      </c>
    </row>
    <row r="281" spans="1:7" x14ac:dyDescent="0.3">
      <c r="A281" s="8">
        <v>45382</v>
      </c>
      <c r="B281" s="7">
        <v>0.1</v>
      </c>
      <c r="C281" s="7">
        <v>-1</v>
      </c>
      <c r="D281" s="7">
        <v>0</v>
      </c>
      <c r="E281" s="7">
        <v>0</v>
      </c>
      <c r="F281" s="7">
        <v>-2.8</v>
      </c>
      <c r="G281" s="7">
        <v>-0.1</v>
      </c>
    </row>
    <row r="282" spans="1:7" x14ac:dyDescent="0.3">
      <c r="A282" s="8">
        <v>45412</v>
      </c>
      <c r="B282" s="7">
        <v>0.3</v>
      </c>
      <c r="C282" s="7">
        <v>0.1</v>
      </c>
      <c r="D282" s="7">
        <v>0</v>
      </c>
      <c r="E282" s="7">
        <v>0</v>
      </c>
      <c r="F282" s="7">
        <v>-2.5</v>
      </c>
      <c r="G282" s="7">
        <v>-0.2</v>
      </c>
    </row>
    <row r="283" spans="1:7" x14ac:dyDescent="0.3">
      <c r="A283" s="8">
        <v>45443</v>
      </c>
      <c r="B283" s="7">
        <v>0.3</v>
      </c>
      <c r="C283" s="7">
        <v>-0.1</v>
      </c>
      <c r="D283" s="7">
        <v>0</v>
      </c>
      <c r="E283" s="7">
        <v>0</v>
      </c>
      <c r="F283" s="7">
        <v>-1.4</v>
      </c>
      <c r="G283" s="7">
        <v>0.2</v>
      </c>
    </row>
    <row r="284" spans="1:7" x14ac:dyDescent="0.3">
      <c r="A284" s="8">
        <v>45473</v>
      </c>
      <c r="B284" s="7">
        <v>0.2</v>
      </c>
      <c r="C284" s="7">
        <v>-0.2</v>
      </c>
      <c r="D284" s="7">
        <v>0</v>
      </c>
      <c r="E284" s="7">
        <v>0</v>
      </c>
      <c r="F284" s="7">
        <v>-0.8</v>
      </c>
      <c r="G284" s="7">
        <v>-0.2</v>
      </c>
    </row>
    <row r="285" spans="1:7" x14ac:dyDescent="0.3">
      <c r="A285" s="8">
        <v>45504</v>
      </c>
      <c r="B285" s="7">
        <v>0.5</v>
      </c>
      <c r="C285" s="7">
        <v>0.5</v>
      </c>
      <c r="D285" s="7">
        <v>0</v>
      </c>
      <c r="E285" s="7">
        <v>0</v>
      </c>
      <c r="F285" s="7">
        <v>-0.8</v>
      </c>
      <c r="G285" s="7">
        <v>-0.2</v>
      </c>
    </row>
    <row r="286" spans="1:7" x14ac:dyDescent="0.3">
      <c r="A286" s="8">
        <v>45535</v>
      </c>
      <c r="B286" s="7">
        <v>0.6</v>
      </c>
      <c r="C286" s="7">
        <v>0.4</v>
      </c>
      <c r="D286" s="7">
        <v>0</v>
      </c>
      <c r="E286" s="7">
        <v>0</v>
      </c>
      <c r="F286" s="7">
        <v>-1.8</v>
      </c>
      <c r="G286" s="7">
        <v>-0.7</v>
      </c>
    </row>
    <row r="287" spans="1:7" x14ac:dyDescent="0.3">
      <c r="A287" s="8">
        <v>45565</v>
      </c>
      <c r="B287" s="7">
        <v>0.4</v>
      </c>
      <c r="C287" s="7">
        <v>0</v>
      </c>
      <c r="D287" s="7">
        <v>0</v>
      </c>
      <c r="E287" s="7">
        <v>0</v>
      </c>
      <c r="F287" s="7">
        <v>-2.8</v>
      </c>
      <c r="G287" s="7">
        <v>-0.6</v>
      </c>
    </row>
    <row r="288" spans="1:7" x14ac:dyDescent="0.3">
      <c r="A288" s="8">
        <v>45596</v>
      </c>
      <c r="B288" s="7">
        <v>0.3</v>
      </c>
      <c r="C288" s="7">
        <v>-0.3</v>
      </c>
      <c r="D288" s="7">
        <v>0</v>
      </c>
      <c r="E288" s="7">
        <v>0</v>
      </c>
      <c r="F288" s="7">
        <v>-2.9</v>
      </c>
      <c r="G288" s="7">
        <v>-0.1</v>
      </c>
    </row>
    <row r="289" spans="1:7" x14ac:dyDescent="0.3">
      <c r="A289" s="8">
        <v>45626</v>
      </c>
      <c r="B289" s="7">
        <v>0.2</v>
      </c>
      <c r="C289" s="7">
        <v>-0.6</v>
      </c>
      <c r="D289" s="7">
        <v>0</v>
      </c>
      <c r="E289" s="7">
        <v>0</v>
      </c>
      <c r="F289" s="7">
        <v>-2.5</v>
      </c>
      <c r="G289" s="7">
        <v>0.1</v>
      </c>
    </row>
    <row r="290" spans="1:7" x14ac:dyDescent="0.3">
      <c r="A290" s="8">
        <v>45657</v>
      </c>
      <c r="B290" s="7">
        <v>0.1</v>
      </c>
      <c r="C290" s="7">
        <v>0</v>
      </c>
      <c r="D290" s="7">
        <v>0</v>
      </c>
      <c r="E290" s="7">
        <v>0</v>
      </c>
      <c r="F290" s="7">
        <v>-2.2999999999999998</v>
      </c>
      <c r="G290" s="7">
        <v>-0.1</v>
      </c>
    </row>
    <row r="291" spans="1:7" x14ac:dyDescent="0.3">
      <c r="A291" s="8">
        <v>45688</v>
      </c>
      <c r="B291" s="7">
        <v>0.5</v>
      </c>
      <c r="C291" s="7">
        <v>0.7</v>
      </c>
      <c r="D291" s="7">
        <v>0</v>
      </c>
      <c r="E291" s="7">
        <v>0</v>
      </c>
      <c r="F291" s="7">
        <v>-2.2999999999999998</v>
      </c>
      <c r="G291" s="7">
        <v>-0.2</v>
      </c>
    </row>
    <row r="292" spans="1:7" x14ac:dyDescent="0.3">
      <c r="A292" s="8">
        <v>45716</v>
      </c>
      <c r="B292" s="7">
        <v>-0.7</v>
      </c>
      <c r="C292" s="7">
        <v>-0.2</v>
      </c>
      <c r="D292" s="7">
        <v>0</v>
      </c>
      <c r="E292" s="7">
        <v>0</v>
      </c>
      <c r="F292" s="7">
        <v>-2.2000000000000002</v>
      </c>
      <c r="G292" s="7">
        <v>-0.1</v>
      </c>
    </row>
    <row r="293" spans="1:7" x14ac:dyDescent="0.3">
      <c r="A293" s="8">
        <v>45747</v>
      </c>
      <c r="B293" s="7">
        <v>-0.1</v>
      </c>
      <c r="C293" s="7">
        <v>-0.4</v>
      </c>
      <c r="D293" s="7">
        <v>0</v>
      </c>
      <c r="E293" s="7">
        <v>0</v>
      </c>
      <c r="F293" s="7">
        <v>-2.5</v>
      </c>
      <c r="G293" s="7">
        <v>-0.4</v>
      </c>
    </row>
    <row r="294" spans="1:7" x14ac:dyDescent="0.3">
      <c r="A294" s="8">
        <v>45777</v>
      </c>
      <c r="B294" s="7">
        <v>-0.1</v>
      </c>
      <c r="C294" s="7">
        <v>0.1</v>
      </c>
      <c r="D294" s="7">
        <v>0</v>
      </c>
      <c r="E294" s="7">
        <v>0</v>
      </c>
      <c r="F294" s="7">
        <v>-2.7</v>
      </c>
      <c r="G294" s="7">
        <v>-0.4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45482-7E83-4CE4-BDAC-EB7F6B2FFC68}">
  <dimension ref="A1:AA296"/>
  <sheetViews>
    <sheetView tabSelected="1" topLeftCell="A2" workbookViewId="0">
      <pane xSplit="1" ySplit="3" topLeftCell="B251" activePane="bottomRight" state="frozen"/>
      <selection activeCell="A2" sqref="A2"/>
      <selection pane="topRight" activeCell="B2" sqref="B2"/>
      <selection pane="bottomLeft" activeCell="A5" sqref="A5"/>
      <selection pane="bottomRight" activeCell="H279" sqref="H279"/>
    </sheetView>
  </sheetViews>
  <sheetFormatPr defaultColWidth="8.6640625" defaultRowHeight="14" x14ac:dyDescent="0.25"/>
  <cols>
    <col min="1" max="1" width="8.6640625" style="4"/>
    <col min="2" max="20" width="20.1640625" style="4" customWidth="1"/>
    <col min="21" max="23" width="9.08203125" style="4" bestFit="1" customWidth="1"/>
    <col min="24" max="24" width="13.33203125" style="4" bestFit="1" customWidth="1"/>
    <col min="25" max="25" width="14.33203125" style="4" bestFit="1" customWidth="1"/>
    <col min="26" max="27" width="11.75" style="4" bestFit="1" customWidth="1"/>
    <col min="28" max="16384" width="8.6640625" style="4"/>
  </cols>
  <sheetData>
    <row r="1" spans="1:27" x14ac:dyDescent="0.25">
      <c r="A1" s="3" t="str">
        <f>[1]!edb()</f>
        <v>Wind</v>
      </c>
    </row>
    <row r="2" spans="1:27" s="6" customFormat="1" ht="42" x14ac:dyDescent="0.3">
      <c r="A2" s="29" t="s">
        <v>0</v>
      </c>
      <c r="B2" s="29" t="s">
        <v>7</v>
      </c>
      <c r="C2" s="29" t="s">
        <v>8</v>
      </c>
      <c r="D2" s="29" t="s">
        <v>9</v>
      </c>
      <c r="E2" s="29" t="s">
        <v>10</v>
      </c>
      <c r="F2" s="29" t="s">
        <v>39</v>
      </c>
      <c r="G2" s="29" t="s">
        <v>12</v>
      </c>
      <c r="H2" s="29" t="s">
        <v>13</v>
      </c>
      <c r="I2" s="29" t="s">
        <v>14</v>
      </c>
      <c r="J2" s="29" t="s">
        <v>1</v>
      </c>
      <c r="K2" s="29" t="s">
        <v>5</v>
      </c>
      <c r="L2" s="29" t="s">
        <v>3</v>
      </c>
      <c r="M2" s="29" t="s">
        <v>15</v>
      </c>
      <c r="N2" s="29" t="s">
        <v>16</v>
      </c>
      <c r="O2" s="29" t="s">
        <v>17</v>
      </c>
      <c r="P2" s="29" t="s">
        <v>18</v>
      </c>
      <c r="Q2" s="29" t="s">
        <v>19</v>
      </c>
      <c r="R2" s="29" t="s">
        <v>20</v>
      </c>
      <c r="S2" s="29" t="s">
        <v>21</v>
      </c>
      <c r="T2" s="29" t="s">
        <v>22</v>
      </c>
      <c r="U2" s="29" t="s">
        <v>11</v>
      </c>
      <c r="V2" s="29" t="s">
        <v>23</v>
      </c>
      <c r="W2" s="29" t="s">
        <v>24</v>
      </c>
      <c r="X2" s="29" t="s">
        <v>25</v>
      </c>
      <c r="Y2" s="29" t="s">
        <v>26</v>
      </c>
      <c r="Z2" s="29" t="s">
        <v>40</v>
      </c>
      <c r="AA2" s="29" t="s">
        <v>41</v>
      </c>
    </row>
    <row r="3" spans="1:27" s="5" customFormat="1" ht="42" x14ac:dyDescent="0.25">
      <c r="A3" s="30" t="s">
        <v>37</v>
      </c>
      <c r="B3" s="30" t="s">
        <v>63</v>
      </c>
      <c r="C3" s="30" t="s">
        <v>64</v>
      </c>
      <c r="D3" s="30" t="s">
        <v>65</v>
      </c>
      <c r="E3" s="30" t="s">
        <v>66</v>
      </c>
      <c r="F3" s="30" t="s">
        <v>67</v>
      </c>
      <c r="G3" s="30" t="s">
        <v>68</v>
      </c>
      <c r="H3" s="30" t="s">
        <v>69</v>
      </c>
      <c r="I3" s="30" t="s">
        <v>70</v>
      </c>
      <c r="J3" s="30" t="s">
        <v>79</v>
      </c>
      <c r="K3" s="30" t="s">
        <v>80</v>
      </c>
      <c r="L3" s="30" t="s">
        <v>61</v>
      </c>
      <c r="M3" s="30" t="s">
        <v>80</v>
      </c>
      <c r="N3" s="30" t="s">
        <v>81</v>
      </c>
      <c r="O3" s="30" t="s">
        <v>81</v>
      </c>
      <c r="P3" s="30" t="s">
        <v>82</v>
      </c>
      <c r="Q3" s="30" t="s">
        <v>83</v>
      </c>
      <c r="R3" s="30" t="s">
        <v>84</v>
      </c>
      <c r="S3" s="30" t="s">
        <v>85</v>
      </c>
      <c r="T3" s="30" t="s">
        <v>86</v>
      </c>
      <c r="U3" s="30" t="s">
        <v>71</v>
      </c>
      <c r="V3" s="30" t="s">
        <v>72</v>
      </c>
      <c r="W3" s="30" t="s">
        <v>73</v>
      </c>
      <c r="X3" s="30" t="s">
        <v>87</v>
      </c>
      <c r="Y3" s="30" t="s">
        <v>87</v>
      </c>
      <c r="Z3" s="30" t="s">
        <v>67</v>
      </c>
      <c r="AA3" s="30" t="s">
        <v>67</v>
      </c>
    </row>
    <row r="4" spans="1:27" x14ac:dyDescent="0.25">
      <c r="A4" s="31" t="s">
        <v>38</v>
      </c>
      <c r="B4" s="32" t="s">
        <v>74</v>
      </c>
      <c r="C4" s="32" t="s">
        <v>75</v>
      </c>
      <c r="D4" s="32" t="s">
        <v>75</v>
      </c>
      <c r="E4" s="32" t="s">
        <v>76</v>
      </c>
      <c r="F4" s="32" t="s">
        <v>77</v>
      </c>
      <c r="G4" s="32" t="s">
        <v>77</v>
      </c>
      <c r="H4" s="32" t="s">
        <v>74</v>
      </c>
      <c r="I4" s="32" t="s">
        <v>74</v>
      </c>
      <c r="J4" s="32" t="s">
        <v>88</v>
      </c>
      <c r="K4" s="32" t="s">
        <v>88</v>
      </c>
      <c r="L4" s="32" t="s">
        <v>62</v>
      </c>
      <c r="M4" s="32" t="s">
        <v>88</v>
      </c>
      <c r="N4" s="32" t="s">
        <v>89</v>
      </c>
      <c r="O4" s="32" t="s">
        <v>89</v>
      </c>
      <c r="P4" s="33" t="s">
        <v>89</v>
      </c>
      <c r="Q4" s="32" t="s">
        <v>89</v>
      </c>
      <c r="R4" s="32" t="s">
        <v>89</v>
      </c>
      <c r="S4" s="32" t="s">
        <v>89</v>
      </c>
      <c r="T4" s="32" t="s">
        <v>89</v>
      </c>
      <c r="U4" s="32" t="s">
        <v>74</v>
      </c>
      <c r="V4" s="32" t="s">
        <v>74</v>
      </c>
      <c r="W4" s="32" t="s">
        <v>78</v>
      </c>
      <c r="X4" s="32" t="s">
        <v>89</v>
      </c>
      <c r="Y4" s="32" t="s">
        <v>89</v>
      </c>
      <c r="Z4" s="32" t="s">
        <v>77</v>
      </c>
      <c r="AA4" s="32" t="s">
        <v>77</v>
      </c>
    </row>
    <row r="5" spans="1:27" x14ac:dyDescent="0.25">
      <c r="A5" s="12">
        <v>36922</v>
      </c>
      <c r="B5" s="9">
        <v>0</v>
      </c>
      <c r="C5" s="9">
        <v>0</v>
      </c>
      <c r="D5" s="9">
        <v>0</v>
      </c>
      <c r="E5" s="9">
        <v>96.39</v>
      </c>
      <c r="F5" s="9">
        <v>0</v>
      </c>
      <c r="G5" s="9">
        <v>0</v>
      </c>
      <c r="H5" s="9">
        <v>12.5</v>
      </c>
      <c r="I5" s="9">
        <v>0</v>
      </c>
      <c r="J5" s="9">
        <v>1.2</v>
      </c>
      <c r="K5" s="9">
        <v>1.43</v>
      </c>
      <c r="L5" s="9">
        <v>-0.5</v>
      </c>
      <c r="M5" s="9">
        <v>3.6</v>
      </c>
      <c r="N5" s="9">
        <v>16.8</v>
      </c>
      <c r="O5" s="9">
        <v>15.16</v>
      </c>
      <c r="P5" s="11">
        <v>0</v>
      </c>
      <c r="Q5" s="9">
        <v>0</v>
      </c>
      <c r="R5" s="9">
        <v>0</v>
      </c>
      <c r="S5" s="9">
        <v>0</v>
      </c>
      <c r="T5" s="9">
        <v>0</v>
      </c>
      <c r="U5" s="9">
        <v>2.2999999999999998</v>
      </c>
      <c r="V5" s="9">
        <v>0</v>
      </c>
      <c r="W5" s="9">
        <v>0</v>
      </c>
      <c r="X5" s="9">
        <v>54405.999999999993</v>
      </c>
      <c r="Y5" s="9">
        <v>137543.62999999998</v>
      </c>
      <c r="Z5" s="9">
        <v>0</v>
      </c>
      <c r="AA5" s="9">
        <v>0</v>
      </c>
    </row>
    <row r="6" spans="1:27" x14ac:dyDescent="0.25">
      <c r="A6" s="12">
        <v>36950</v>
      </c>
      <c r="B6" s="9">
        <v>0</v>
      </c>
      <c r="C6" s="9">
        <v>0</v>
      </c>
      <c r="D6" s="9">
        <v>0</v>
      </c>
      <c r="E6" s="9">
        <v>96.83</v>
      </c>
      <c r="F6" s="9">
        <v>0</v>
      </c>
      <c r="G6" s="9">
        <v>0</v>
      </c>
      <c r="H6" s="9">
        <v>8.6</v>
      </c>
      <c r="I6" s="9">
        <v>0</v>
      </c>
      <c r="J6" s="9">
        <v>0</v>
      </c>
      <c r="K6" s="9">
        <v>0.9</v>
      </c>
      <c r="L6" s="9">
        <v>-1.7</v>
      </c>
      <c r="M6" s="9">
        <v>2.7</v>
      </c>
      <c r="N6" s="9">
        <v>16.399999999999999</v>
      </c>
      <c r="O6" s="9">
        <v>15.2</v>
      </c>
      <c r="P6" s="11">
        <v>0</v>
      </c>
      <c r="Q6" s="9">
        <v>0</v>
      </c>
      <c r="R6" s="9">
        <v>0</v>
      </c>
      <c r="S6" s="9">
        <v>0</v>
      </c>
      <c r="T6" s="9">
        <v>0</v>
      </c>
      <c r="U6" s="9">
        <v>19</v>
      </c>
      <c r="V6" s="9">
        <v>0</v>
      </c>
      <c r="W6" s="9">
        <v>0</v>
      </c>
      <c r="X6" s="9">
        <v>51998</v>
      </c>
      <c r="Y6" s="9">
        <v>136210.17000000001</v>
      </c>
      <c r="Z6" s="9">
        <v>0</v>
      </c>
      <c r="AA6" s="9">
        <v>0</v>
      </c>
    </row>
    <row r="7" spans="1:27" x14ac:dyDescent="0.25">
      <c r="A7" s="12">
        <v>36981</v>
      </c>
      <c r="B7" s="9">
        <v>9.5</v>
      </c>
      <c r="C7" s="9">
        <v>0</v>
      </c>
      <c r="D7" s="9">
        <v>0</v>
      </c>
      <c r="E7" s="9">
        <v>97.490000000000009</v>
      </c>
      <c r="F7" s="9">
        <v>0</v>
      </c>
      <c r="G7" s="9">
        <v>0</v>
      </c>
      <c r="H7" s="9">
        <v>9.5</v>
      </c>
      <c r="I7" s="9">
        <v>3.1261999999999999</v>
      </c>
      <c r="J7" s="9">
        <v>0.8</v>
      </c>
      <c r="K7" s="9">
        <v>0.2</v>
      </c>
      <c r="L7" s="9">
        <v>-0.9</v>
      </c>
      <c r="M7" s="9">
        <v>2.1</v>
      </c>
      <c r="N7" s="9">
        <v>17.399999999999999</v>
      </c>
      <c r="O7" s="9">
        <v>14.83</v>
      </c>
      <c r="P7" s="11">
        <v>0</v>
      </c>
      <c r="Q7" s="9">
        <v>0</v>
      </c>
      <c r="R7" s="9">
        <v>0</v>
      </c>
      <c r="S7" s="9">
        <v>0</v>
      </c>
      <c r="T7" s="9">
        <v>0</v>
      </c>
      <c r="U7" s="9">
        <v>12.1</v>
      </c>
      <c r="V7" s="9">
        <v>0</v>
      </c>
      <c r="W7" s="9">
        <v>0</v>
      </c>
      <c r="X7" s="9">
        <v>53033</v>
      </c>
      <c r="Y7" s="9">
        <v>138744.46</v>
      </c>
      <c r="Z7" s="9">
        <v>0</v>
      </c>
      <c r="AA7" s="9">
        <v>0</v>
      </c>
    </row>
    <row r="8" spans="1:27" x14ac:dyDescent="0.25">
      <c r="A8" s="12">
        <v>37011</v>
      </c>
      <c r="B8" s="9">
        <v>0</v>
      </c>
      <c r="C8" s="9">
        <v>0</v>
      </c>
      <c r="D8" s="9">
        <v>0</v>
      </c>
      <c r="E8" s="9">
        <v>96.63000000000001</v>
      </c>
      <c r="F8" s="9">
        <v>0</v>
      </c>
      <c r="G8" s="9">
        <v>0</v>
      </c>
      <c r="H8" s="9">
        <v>9.6999999999999993</v>
      </c>
      <c r="I8" s="9">
        <v>0</v>
      </c>
      <c r="J8" s="9">
        <v>1.6</v>
      </c>
      <c r="K8" s="9">
        <v>-0.1</v>
      </c>
      <c r="L8" s="9">
        <v>0.1</v>
      </c>
      <c r="M8" s="9">
        <v>1</v>
      </c>
      <c r="N8" s="9">
        <v>15</v>
      </c>
      <c r="O8" s="9">
        <v>13.94</v>
      </c>
      <c r="P8" s="11">
        <v>0</v>
      </c>
      <c r="Q8" s="9">
        <v>0</v>
      </c>
      <c r="R8" s="9">
        <v>0</v>
      </c>
      <c r="S8" s="9">
        <v>0</v>
      </c>
      <c r="T8" s="9">
        <v>0</v>
      </c>
      <c r="U8" s="9">
        <v>11.5</v>
      </c>
      <c r="V8" s="9">
        <v>0</v>
      </c>
      <c r="W8" s="9">
        <v>0</v>
      </c>
      <c r="X8" s="9">
        <v>53261</v>
      </c>
      <c r="Y8" s="9">
        <v>139949.85</v>
      </c>
      <c r="Z8" s="9">
        <v>0</v>
      </c>
      <c r="AA8" s="9">
        <v>0</v>
      </c>
    </row>
    <row r="9" spans="1:27" x14ac:dyDescent="0.25">
      <c r="A9" s="12">
        <v>37042</v>
      </c>
      <c r="B9" s="9">
        <v>0</v>
      </c>
      <c r="C9" s="9">
        <v>0</v>
      </c>
      <c r="D9" s="9">
        <v>0</v>
      </c>
      <c r="E9" s="9">
        <v>96.280000000000015</v>
      </c>
      <c r="F9" s="9">
        <v>0</v>
      </c>
      <c r="G9" s="9">
        <v>0</v>
      </c>
      <c r="H9" s="9">
        <v>11.1</v>
      </c>
      <c r="I9" s="9">
        <v>0</v>
      </c>
      <c r="J9" s="9">
        <v>1.7</v>
      </c>
      <c r="K9" s="9">
        <v>-0.2</v>
      </c>
      <c r="L9" s="9">
        <v>0.1</v>
      </c>
      <c r="M9" s="9">
        <v>1.1000000000000001</v>
      </c>
      <c r="N9" s="9">
        <v>14.9</v>
      </c>
      <c r="O9" s="9">
        <v>14.48</v>
      </c>
      <c r="P9" s="11">
        <v>0</v>
      </c>
      <c r="Q9" s="9">
        <v>0</v>
      </c>
      <c r="R9" s="9">
        <v>0</v>
      </c>
      <c r="S9" s="9">
        <v>0</v>
      </c>
      <c r="T9" s="9">
        <v>0</v>
      </c>
      <c r="U9" s="9">
        <v>10.199999999999999</v>
      </c>
      <c r="V9" s="9">
        <v>0</v>
      </c>
      <c r="W9" s="9">
        <v>0</v>
      </c>
      <c r="X9" s="9">
        <v>53423</v>
      </c>
      <c r="Y9" s="9">
        <v>139015.84</v>
      </c>
      <c r="Z9" s="9">
        <v>0</v>
      </c>
      <c r="AA9" s="9">
        <v>0</v>
      </c>
    </row>
    <row r="10" spans="1:27" x14ac:dyDescent="0.25">
      <c r="A10" s="12">
        <v>37072</v>
      </c>
      <c r="B10" s="9">
        <v>8.6</v>
      </c>
      <c r="C10" s="9">
        <v>0</v>
      </c>
      <c r="D10" s="9">
        <v>0</v>
      </c>
      <c r="E10" s="9">
        <v>95.78</v>
      </c>
      <c r="F10" s="9">
        <v>0</v>
      </c>
      <c r="G10" s="9">
        <v>0</v>
      </c>
      <c r="H10" s="9">
        <v>10</v>
      </c>
      <c r="I10" s="9">
        <v>2.3571</v>
      </c>
      <c r="J10" s="9">
        <v>1.4</v>
      </c>
      <c r="K10" s="9">
        <v>-0.6</v>
      </c>
      <c r="L10" s="9">
        <v>-0.1</v>
      </c>
      <c r="M10" s="9">
        <v>0.5</v>
      </c>
      <c r="N10" s="9">
        <v>14.9</v>
      </c>
      <c r="O10" s="9">
        <v>14.3</v>
      </c>
      <c r="P10" s="11">
        <v>0</v>
      </c>
      <c r="Q10" s="9">
        <v>0</v>
      </c>
      <c r="R10" s="9">
        <v>0</v>
      </c>
      <c r="S10" s="9">
        <v>0</v>
      </c>
      <c r="T10" s="9">
        <v>0</v>
      </c>
      <c r="U10" s="9">
        <v>10.1</v>
      </c>
      <c r="V10" s="9">
        <v>0</v>
      </c>
      <c r="W10" s="9">
        <v>0</v>
      </c>
      <c r="X10" s="9">
        <v>55187</v>
      </c>
      <c r="Y10" s="9">
        <v>147809.67000000001</v>
      </c>
      <c r="Z10" s="9">
        <v>0</v>
      </c>
      <c r="AA10" s="9">
        <v>0</v>
      </c>
    </row>
    <row r="11" spans="1:27" x14ac:dyDescent="0.25">
      <c r="A11" s="12">
        <v>37103</v>
      </c>
      <c r="B11" s="9">
        <v>0</v>
      </c>
      <c r="C11" s="9">
        <v>0</v>
      </c>
      <c r="D11" s="9">
        <v>0</v>
      </c>
      <c r="E11" s="9">
        <v>95.24</v>
      </c>
      <c r="F11" s="9">
        <v>0</v>
      </c>
      <c r="G11" s="9">
        <v>0</v>
      </c>
      <c r="H11" s="9">
        <v>9.8000000000000007</v>
      </c>
      <c r="I11" s="9">
        <v>0</v>
      </c>
      <c r="J11" s="9">
        <v>1.5</v>
      </c>
      <c r="K11" s="9">
        <v>-1.3</v>
      </c>
      <c r="L11" s="9">
        <v>-0.2</v>
      </c>
      <c r="M11" s="9">
        <v>-0.4</v>
      </c>
      <c r="N11" s="9">
        <v>11.9</v>
      </c>
      <c r="O11" s="9">
        <v>13.5</v>
      </c>
      <c r="P11" s="11">
        <v>0</v>
      </c>
      <c r="Q11" s="9">
        <v>0</v>
      </c>
      <c r="R11" s="9">
        <v>0</v>
      </c>
      <c r="S11" s="9">
        <v>0</v>
      </c>
      <c r="T11" s="9">
        <v>0</v>
      </c>
      <c r="U11" s="9">
        <v>8.1</v>
      </c>
      <c r="V11" s="9">
        <v>0</v>
      </c>
      <c r="W11" s="9">
        <v>0</v>
      </c>
      <c r="X11" s="9">
        <v>53503</v>
      </c>
      <c r="Y11" s="9">
        <v>149228.73000000001</v>
      </c>
      <c r="Z11" s="9">
        <v>0</v>
      </c>
      <c r="AA11" s="9">
        <v>0</v>
      </c>
    </row>
    <row r="12" spans="1:27" x14ac:dyDescent="0.25">
      <c r="A12" s="12">
        <v>37134</v>
      </c>
      <c r="B12" s="9">
        <v>0</v>
      </c>
      <c r="C12" s="9">
        <v>0</v>
      </c>
      <c r="D12" s="9">
        <v>0</v>
      </c>
      <c r="E12" s="9">
        <v>95.11</v>
      </c>
      <c r="F12" s="9">
        <v>0</v>
      </c>
      <c r="G12" s="9">
        <v>0</v>
      </c>
      <c r="H12" s="9">
        <v>9.6</v>
      </c>
      <c r="I12" s="9">
        <v>0</v>
      </c>
      <c r="J12" s="9">
        <v>1</v>
      </c>
      <c r="K12" s="9">
        <v>-2</v>
      </c>
      <c r="L12" s="9">
        <v>-1.2</v>
      </c>
      <c r="M12" s="9">
        <v>-1.3</v>
      </c>
      <c r="N12" s="9">
        <v>14.2</v>
      </c>
      <c r="O12" s="9">
        <v>13.6</v>
      </c>
      <c r="P12" s="11">
        <v>0</v>
      </c>
      <c r="Q12" s="9">
        <v>0</v>
      </c>
      <c r="R12" s="9">
        <v>0</v>
      </c>
      <c r="S12" s="9">
        <v>0</v>
      </c>
      <c r="T12" s="9">
        <v>0</v>
      </c>
      <c r="U12" s="9">
        <v>8.1</v>
      </c>
      <c r="V12" s="9">
        <v>0</v>
      </c>
      <c r="W12" s="9">
        <v>0</v>
      </c>
      <c r="X12" s="9">
        <v>55809</v>
      </c>
      <c r="Y12" s="9">
        <v>149941.76000000001</v>
      </c>
      <c r="Z12" s="9">
        <v>0</v>
      </c>
      <c r="AA12" s="9">
        <v>0</v>
      </c>
    </row>
    <row r="13" spans="1:27" x14ac:dyDescent="0.25">
      <c r="A13" s="12">
        <v>37164</v>
      </c>
      <c r="B13" s="9">
        <v>8</v>
      </c>
      <c r="C13" s="9">
        <v>0</v>
      </c>
      <c r="D13" s="9">
        <v>0</v>
      </c>
      <c r="E13" s="9">
        <v>94.97</v>
      </c>
      <c r="F13" s="9">
        <v>0</v>
      </c>
      <c r="G13" s="9">
        <v>0</v>
      </c>
      <c r="H13" s="9">
        <v>9.9</v>
      </c>
      <c r="I13" s="9">
        <v>2.0303</v>
      </c>
      <c r="J13" s="9">
        <v>-0.1</v>
      </c>
      <c r="K13" s="9">
        <v>-2.9</v>
      </c>
      <c r="L13" s="9">
        <v>-1.3</v>
      </c>
      <c r="M13" s="9">
        <v>-1.8</v>
      </c>
      <c r="N13" s="9">
        <v>12.3</v>
      </c>
      <c r="O13" s="9">
        <v>13.6</v>
      </c>
      <c r="P13" s="11">
        <v>0</v>
      </c>
      <c r="Q13" s="9">
        <v>0</v>
      </c>
      <c r="R13" s="9">
        <v>0</v>
      </c>
      <c r="S13" s="9">
        <v>0</v>
      </c>
      <c r="T13" s="9">
        <v>0</v>
      </c>
      <c r="U13" s="9">
        <v>9.5</v>
      </c>
      <c r="V13" s="9">
        <v>0</v>
      </c>
      <c r="W13" s="9">
        <v>0</v>
      </c>
      <c r="X13" s="9">
        <v>56823.000000000007</v>
      </c>
      <c r="Y13" s="9">
        <v>151642.63999999998</v>
      </c>
      <c r="Z13" s="9">
        <v>0</v>
      </c>
      <c r="AA13" s="9">
        <v>0</v>
      </c>
    </row>
    <row r="14" spans="1:27" x14ac:dyDescent="0.25">
      <c r="A14" s="12">
        <v>37195</v>
      </c>
      <c r="B14" s="9">
        <v>0</v>
      </c>
      <c r="C14" s="9">
        <v>0</v>
      </c>
      <c r="D14" s="9">
        <v>0</v>
      </c>
      <c r="E14" s="9">
        <v>95.01</v>
      </c>
      <c r="F14" s="9">
        <v>0</v>
      </c>
      <c r="G14" s="9">
        <v>0</v>
      </c>
      <c r="H14" s="9">
        <v>10.5</v>
      </c>
      <c r="I14" s="9">
        <v>0</v>
      </c>
      <c r="J14" s="9">
        <v>0.2</v>
      </c>
      <c r="K14" s="9">
        <v>-3.1</v>
      </c>
      <c r="L14" s="9">
        <v>-0.8</v>
      </c>
      <c r="M14" s="9">
        <v>-2.5</v>
      </c>
      <c r="N14" s="9">
        <v>12.3</v>
      </c>
      <c r="O14" s="9">
        <v>12.9</v>
      </c>
      <c r="P14" s="11">
        <v>0</v>
      </c>
      <c r="Q14" s="9">
        <v>0</v>
      </c>
      <c r="R14" s="9">
        <v>0</v>
      </c>
      <c r="S14" s="9">
        <v>0</v>
      </c>
      <c r="T14" s="9">
        <v>0</v>
      </c>
      <c r="U14" s="9">
        <v>8.8000000000000007</v>
      </c>
      <c r="V14" s="9">
        <v>0</v>
      </c>
      <c r="W14" s="9">
        <v>0</v>
      </c>
      <c r="X14" s="9">
        <v>56115</v>
      </c>
      <c r="Y14" s="9">
        <v>151497.25</v>
      </c>
      <c r="Z14" s="9">
        <v>0</v>
      </c>
      <c r="AA14" s="9">
        <v>0</v>
      </c>
    </row>
    <row r="15" spans="1:27" x14ac:dyDescent="0.25">
      <c r="A15" s="12">
        <v>37225</v>
      </c>
      <c r="B15" s="9">
        <v>0</v>
      </c>
      <c r="C15" s="9">
        <v>0</v>
      </c>
      <c r="D15" s="9">
        <v>0</v>
      </c>
      <c r="E15" s="9">
        <v>94.95</v>
      </c>
      <c r="F15" s="9">
        <v>0</v>
      </c>
      <c r="G15" s="9">
        <v>0</v>
      </c>
      <c r="H15" s="9">
        <v>10.1</v>
      </c>
      <c r="I15" s="9">
        <v>0</v>
      </c>
      <c r="J15" s="9">
        <v>-0.3</v>
      </c>
      <c r="K15" s="9">
        <v>-3.7</v>
      </c>
      <c r="L15" s="9">
        <v>-1.7</v>
      </c>
      <c r="M15" s="9">
        <v>-3.5</v>
      </c>
      <c r="N15" s="9">
        <v>11.4</v>
      </c>
      <c r="O15" s="9">
        <v>13.2</v>
      </c>
      <c r="P15" s="11">
        <v>0</v>
      </c>
      <c r="Q15" s="9">
        <v>0</v>
      </c>
      <c r="R15" s="9">
        <v>0</v>
      </c>
      <c r="S15" s="9">
        <v>0</v>
      </c>
      <c r="T15" s="9">
        <v>0</v>
      </c>
      <c r="U15" s="9">
        <v>7.9</v>
      </c>
      <c r="V15" s="9">
        <v>0</v>
      </c>
      <c r="W15" s="9">
        <v>0</v>
      </c>
      <c r="X15" s="9">
        <v>56579.999999999993</v>
      </c>
      <c r="Y15" s="9">
        <v>154088.33000000002</v>
      </c>
      <c r="Z15" s="9">
        <v>0</v>
      </c>
      <c r="AA15" s="9">
        <v>0</v>
      </c>
    </row>
    <row r="16" spans="1:27" x14ac:dyDescent="0.25">
      <c r="A16" s="12">
        <v>37256</v>
      </c>
      <c r="B16" s="9">
        <v>7.5</v>
      </c>
      <c r="C16" s="9">
        <v>0</v>
      </c>
      <c r="D16" s="9">
        <v>0</v>
      </c>
      <c r="E16" s="9">
        <v>95.22999999999999</v>
      </c>
      <c r="F16" s="9">
        <v>0</v>
      </c>
      <c r="G16" s="9">
        <v>0</v>
      </c>
      <c r="H16" s="9">
        <v>9.6</v>
      </c>
      <c r="I16" s="9">
        <v>1.0608</v>
      </c>
      <c r="J16" s="9">
        <v>-0.3</v>
      </c>
      <c r="K16" s="9">
        <v>-4</v>
      </c>
      <c r="L16" s="9">
        <v>-1.8</v>
      </c>
      <c r="M16" s="9">
        <v>-4.0999999999999996</v>
      </c>
      <c r="N16" s="9">
        <v>12.7</v>
      </c>
      <c r="O16" s="9">
        <v>14.4</v>
      </c>
      <c r="P16" s="11">
        <v>0</v>
      </c>
      <c r="Q16" s="9">
        <v>0</v>
      </c>
      <c r="R16" s="9">
        <v>0</v>
      </c>
      <c r="S16" s="9">
        <v>0</v>
      </c>
      <c r="T16" s="9">
        <v>0</v>
      </c>
      <c r="U16" s="9">
        <v>8.6999999999999993</v>
      </c>
      <c r="V16" s="9">
        <v>0</v>
      </c>
      <c r="W16" s="9">
        <v>0</v>
      </c>
      <c r="X16" s="9">
        <v>59871.590000000004</v>
      </c>
      <c r="Y16" s="9">
        <v>158301.92000000001</v>
      </c>
      <c r="Z16" s="9">
        <v>0</v>
      </c>
      <c r="AA16" s="9">
        <v>0</v>
      </c>
    </row>
    <row r="17" spans="1:27" x14ac:dyDescent="0.25">
      <c r="A17" s="12">
        <v>37287</v>
      </c>
      <c r="B17" s="9">
        <v>0</v>
      </c>
      <c r="C17" s="9">
        <v>0</v>
      </c>
      <c r="D17" s="9">
        <v>0</v>
      </c>
      <c r="E17" s="9">
        <v>94.93</v>
      </c>
      <c r="F17" s="9">
        <v>0</v>
      </c>
      <c r="G17" s="9">
        <v>0</v>
      </c>
      <c r="H17" s="9">
        <v>7.9</v>
      </c>
      <c r="I17" s="9">
        <v>0</v>
      </c>
      <c r="J17" s="9">
        <v>-1</v>
      </c>
      <c r="K17" s="9">
        <v>-4.2</v>
      </c>
      <c r="L17" s="9">
        <v>-2</v>
      </c>
      <c r="M17" s="9">
        <v>-4.8</v>
      </c>
      <c r="N17" s="9">
        <v>9.5</v>
      </c>
      <c r="O17" s="9">
        <v>13.1</v>
      </c>
      <c r="P17" s="11">
        <v>0</v>
      </c>
      <c r="Q17" s="9">
        <v>0</v>
      </c>
      <c r="R17" s="9">
        <v>0</v>
      </c>
      <c r="S17" s="9">
        <v>-472</v>
      </c>
      <c r="T17" s="9">
        <v>0</v>
      </c>
      <c r="U17" s="9">
        <v>18.600000000000001</v>
      </c>
      <c r="V17" s="9">
        <v>0</v>
      </c>
      <c r="W17" s="9">
        <v>0</v>
      </c>
      <c r="X17" s="9">
        <v>60576.06</v>
      </c>
      <c r="Y17" s="9">
        <v>159639.26999999999</v>
      </c>
      <c r="Z17" s="9">
        <v>0</v>
      </c>
      <c r="AA17" s="9">
        <v>0</v>
      </c>
    </row>
    <row r="18" spans="1:27" x14ac:dyDescent="0.25">
      <c r="A18" s="12">
        <v>37315</v>
      </c>
      <c r="B18" s="9">
        <v>0</v>
      </c>
      <c r="C18" s="9">
        <v>0</v>
      </c>
      <c r="D18" s="9">
        <v>0</v>
      </c>
      <c r="E18" s="9">
        <v>95.01</v>
      </c>
      <c r="F18" s="9">
        <v>0</v>
      </c>
      <c r="G18" s="9">
        <v>0</v>
      </c>
      <c r="H18" s="9">
        <v>9.1</v>
      </c>
      <c r="I18" s="9">
        <v>0</v>
      </c>
      <c r="J18" s="9">
        <v>0</v>
      </c>
      <c r="K18" s="9">
        <v>-4.2</v>
      </c>
      <c r="L18" s="9">
        <v>-1.1000000000000001</v>
      </c>
      <c r="M18" s="9">
        <v>-4.6399999999999997</v>
      </c>
      <c r="N18" s="9">
        <v>10.9</v>
      </c>
      <c r="O18" s="9">
        <v>13</v>
      </c>
      <c r="P18" s="11">
        <v>0</v>
      </c>
      <c r="Q18" s="9">
        <v>0</v>
      </c>
      <c r="R18" s="9">
        <v>0</v>
      </c>
      <c r="S18" s="9">
        <v>-183</v>
      </c>
      <c r="T18" s="9">
        <v>0</v>
      </c>
      <c r="U18" s="9">
        <v>2.7</v>
      </c>
      <c r="V18" s="9">
        <v>0</v>
      </c>
      <c r="W18" s="9">
        <v>0</v>
      </c>
      <c r="X18" s="9">
        <v>58702.87</v>
      </c>
      <c r="Y18" s="9">
        <v>160935.59</v>
      </c>
      <c r="Z18" s="9">
        <v>0</v>
      </c>
      <c r="AA18" s="9">
        <v>0</v>
      </c>
    </row>
    <row r="19" spans="1:27" x14ac:dyDescent="0.25">
      <c r="A19" s="12">
        <v>37346</v>
      </c>
      <c r="B19" s="9">
        <v>9</v>
      </c>
      <c r="C19" s="9">
        <v>0</v>
      </c>
      <c r="D19" s="9">
        <v>0</v>
      </c>
      <c r="E19" s="9">
        <v>95.45</v>
      </c>
      <c r="F19" s="9">
        <v>0</v>
      </c>
      <c r="G19" s="9">
        <v>0</v>
      </c>
      <c r="H19" s="9">
        <v>8.3000000000000007</v>
      </c>
      <c r="I19" s="9">
        <v>0.2475</v>
      </c>
      <c r="J19" s="9">
        <v>-0.8</v>
      </c>
      <c r="K19" s="9">
        <v>-4</v>
      </c>
      <c r="L19" s="9">
        <v>-1.8</v>
      </c>
      <c r="M19" s="9">
        <v>-4.7</v>
      </c>
      <c r="N19" s="9">
        <v>10.1</v>
      </c>
      <c r="O19" s="9">
        <v>14.4</v>
      </c>
      <c r="P19" s="11">
        <v>0</v>
      </c>
      <c r="Q19" s="9">
        <v>0</v>
      </c>
      <c r="R19" s="9">
        <v>0</v>
      </c>
      <c r="S19" s="9">
        <v>2953</v>
      </c>
      <c r="T19" s="9">
        <v>0</v>
      </c>
      <c r="U19" s="9">
        <v>10.9</v>
      </c>
      <c r="V19" s="9">
        <v>0</v>
      </c>
      <c r="W19" s="9">
        <v>0</v>
      </c>
      <c r="X19" s="9">
        <v>59474.83</v>
      </c>
      <c r="Y19" s="9">
        <v>164064.57</v>
      </c>
      <c r="Z19" s="9">
        <v>0</v>
      </c>
      <c r="AA19" s="9">
        <v>0</v>
      </c>
    </row>
    <row r="20" spans="1:27" x14ac:dyDescent="0.25">
      <c r="A20" s="12">
        <v>37376</v>
      </c>
      <c r="B20" s="9">
        <v>0</v>
      </c>
      <c r="C20" s="9">
        <v>0</v>
      </c>
      <c r="D20" s="9">
        <v>0</v>
      </c>
      <c r="E20" s="9">
        <v>96.54</v>
      </c>
      <c r="F20" s="9">
        <v>0</v>
      </c>
      <c r="G20" s="9">
        <v>0</v>
      </c>
      <c r="H20" s="9">
        <v>8.1999999999999993</v>
      </c>
      <c r="I20" s="9">
        <v>0</v>
      </c>
      <c r="J20" s="9">
        <v>-1.3</v>
      </c>
      <c r="K20" s="9">
        <v>-3.06</v>
      </c>
      <c r="L20" s="9">
        <v>-2.1</v>
      </c>
      <c r="M20" s="9">
        <v>-3.79</v>
      </c>
      <c r="N20" s="9">
        <v>11.5</v>
      </c>
      <c r="O20" s="9">
        <v>14.1</v>
      </c>
      <c r="P20" s="11">
        <v>0</v>
      </c>
      <c r="Q20" s="9">
        <v>0</v>
      </c>
      <c r="R20" s="9">
        <v>0</v>
      </c>
      <c r="S20" s="9">
        <v>4104</v>
      </c>
      <c r="T20" s="9">
        <v>0</v>
      </c>
      <c r="U20" s="9">
        <v>12.1</v>
      </c>
      <c r="V20" s="9">
        <v>0</v>
      </c>
      <c r="W20" s="9">
        <v>0</v>
      </c>
      <c r="X20" s="9">
        <v>60461.310000000005</v>
      </c>
      <c r="Y20" s="9">
        <v>164570.56</v>
      </c>
      <c r="Z20" s="9">
        <v>0</v>
      </c>
      <c r="AA20" s="9">
        <v>0</v>
      </c>
    </row>
    <row r="21" spans="1:27" x14ac:dyDescent="0.25">
      <c r="A21" s="12">
        <v>37407</v>
      </c>
      <c r="B21" s="9">
        <v>0</v>
      </c>
      <c r="C21" s="9">
        <v>0</v>
      </c>
      <c r="D21" s="9">
        <v>0</v>
      </c>
      <c r="E21" s="9">
        <v>96.97999999999999</v>
      </c>
      <c r="F21" s="9">
        <v>0</v>
      </c>
      <c r="G21" s="9">
        <v>0</v>
      </c>
      <c r="H21" s="9">
        <v>9.3000000000000007</v>
      </c>
      <c r="I21" s="9">
        <v>0</v>
      </c>
      <c r="J21" s="9">
        <v>-1.1000000000000001</v>
      </c>
      <c r="K21" s="9">
        <v>-2.63</v>
      </c>
      <c r="L21" s="9">
        <v>-1.8</v>
      </c>
      <c r="M21" s="9">
        <v>-2.85</v>
      </c>
      <c r="N21" s="9">
        <v>14.6</v>
      </c>
      <c r="O21" s="9">
        <v>14</v>
      </c>
      <c r="P21" s="11">
        <v>0</v>
      </c>
      <c r="Q21" s="9">
        <v>0</v>
      </c>
      <c r="R21" s="9">
        <v>0</v>
      </c>
      <c r="S21" s="9">
        <v>5878</v>
      </c>
      <c r="T21" s="9">
        <v>0</v>
      </c>
      <c r="U21" s="9">
        <v>12.9</v>
      </c>
      <c r="V21" s="9">
        <v>0</v>
      </c>
      <c r="W21" s="9">
        <v>0</v>
      </c>
      <c r="X21" s="9">
        <v>61246.86</v>
      </c>
      <c r="Y21" s="9">
        <v>166023</v>
      </c>
      <c r="Z21" s="9">
        <v>0</v>
      </c>
      <c r="AA21" s="9">
        <v>0</v>
      </c>
    </row>
    <row r="22" spans="1:27" x14ac:dyDescent="0.25">
      <c r="A22" s="12">
        <v>37437</v>
      </c>
      <c r="B22" s="9">
        <v>8.9</v>
      </c>
      <c r="C22" s="9">
        <v>0</v>
      </c>
      <c r="D22" s="9">
        <v>0</v>
      </c>
      <c r="E22" s="9">
        <v>97.19</v>
      </c>
      <c r="F22" s="9">
        <v>0</v>
      </c>
      <c r="G22" s="9">
        <v>0</v>
      </c>
      <c r="H22" s="9">
        <v>8.6</v>
      </c>
      <c r="I22" s="9">
        <v>0.39979999999999999</v>
      </c>
      <c r="J22" s="9">
        <v>-0.8</v>
      </c>
      <c r="K22" s="9">
        <v>-2.5</v>
      </c>
      <c r="L22" s="9">
        <v>-0.8</v>
      </c>
      <c r="M22" s="9">
        <v>-2.81</v>
      </c>
      <c r="N22" s="9">
        <v>12.8</v>
      </c>
      <c r="O22" s="9">
        <v>14.7</v>
      </c>
      <c r="P22" s="11">
        <v>0</v>
      </c>
      <c r="Q22" s="9">
        <v>0</v>
      </c>
      <c r="R22" s="9">
        <v>0</v>
      </c>
      <c r="S22" s="9">
        <v>8499</v>
      </c>
      <c r="T22" s="9">
        <v>0</v>
      </c>
      <c r="U22" s="9">
        <v>12.4</v>
      </c>
      <c r="V22" s="9">
        <v>0</v>
      </c>
      <c r="W22" s="9">
        <v>0</v>
      </c>
      <c r="X22" s="9">
        <v>63144.000000000007</v>
      </c>
      <c r="Y22" s="9">
        <v>169601.24</v>
      </c>
      <c r="Z22" s="9">
        <v>0</v>
      </c>
      <c r="AA22" s="9">
        <v>0</v>
      </c>
    </row>
    <row r="23" spans="1:27" x14ac:dyDescent="0.25">
      <c r="A23" s="12">
        <v>37468</v>
      </c>
      <c r="B23" s="9">
        <v>0</v>
      </c>
      <c r="C23" s="9">
        <v>0</v>
      </c>
      <c r="D23" s="9">
        <v>0</v>
      </c>
      <c r="E23" s="9">
        <v>97.12</v>
      </c>
      <c r="F23" s="9">
        <v>0</v>
      </c>
      <c r="G23" s="9">
        <v>0</v>
      </c>
      <c r="H23" s="9">
        <v>8.6</v>
      </c>
      <c r="I23" s="9">
        <v>0</v>
      </c>
      <c r="J23" s="9">
        <v>-0.9</v>
      </c>
      <c r="K23" s="9">
        <v>-2.2999999999999998</v>
      </c>
      <c r="L23" s="9">
        <v>-1.1000000000000001</v>
      </c>
      <c r="M23" s="9">
        <v>-2.4900000000000002</v>
      </c>
      <c r="N23" s="9">
        <v>17</v>
      </c>
      <c r="O23" s="9">
        <v>14.4</v>
      </c>
      <c r="P23" s="11">
        <v>0</v>
      </c>
      <c r="Q23" s="9">
        <v>0</v>
      </c>
      <c r="R23" s="9">
        <v>0</v>
      </c>
      <c r="S23" s="9">
        <v>9312</v>
      </c>
      <c r="T23" s="9">
        <v>0</v>
      </c>
      <c r="U23" s="9">
        <v>12.8</v>
      </c>
      <c r="V23" s="9">
        <v>0</v>
      </c>
      <c r="W23" s="9">
        <v>0</v>
      </c>
      <c r="X23" s="9">
        <v>63487.779999999992</v>
      </c>
      <c r="Y23" s="9">
        <v>170851.13999999998</v>
      </c>
      <c r="Z23" s="9">
        <v>0</v>
      </c>
      <c r="AA23" s="9">
        <v>0</v>
      </c>
    </row>
    <row r="24" spans="1:27" x14ac:dyDescent="0.25">
      <c r="A24" s="12">
        <v>37499</v>
      </c>
      <c r="B24" s="9">
        <v>0</v>
      </c>
      <c r="C24" s="9">
        <v>0</v>
      </c>
      <c r="D24" s="9">
        <v>0</v>
      </c>
      <c r="E24" s="9">
        <v>97.86999999999999</v>
      </c>
      <c r="F24" s="9">
        <v>0</v>
      </c>
      <c r="G24" s="9">
        <v>0</v>
      </c>
      <c r="H24" s="9">
        <v>8.8000000000000007</v>
      </c>
      <c r="I24" s="9">
        <v>0</v>
      </c>
      <c r="J24" s="9">
        <v>-0.7</v>
      </c>
      <c r="K24" s="9">
        <v>-1.7</v>
      </c>
      <c r="L24" s="9">
        <v>-1.1000000000000001</v>
      </c>
      <c r="M24" s="9">
        <v>-2</v>
      </c>
      <c r="N24" s="9">
        <v>14.6</v>
      </c>
      <c r="O24" s="9">
        <v>15.5</v>
      </c>
      <c r="P24" s="11">
        <v>0</v>
      </c>
      <c r="Q24" s="9">
        <v>0</v>
      </c>
      <c r="R24" s="9">
        <v>0</v>
      </c>
      <c r="S24" s="9">
        <v>10897</v>
      </c>
      <c r="T24" s="9">
        <v>0</v>
      </c>
      <c r="U24" s="9">
        <v>12.7</v>
      </c>
      <c r="V24" s="9">
        <v>0</v>
      </c>
      <c r="W24" s="9">
        <v>0</v>
      </c>
      <c r="X24" s="9">
        <v>64868.83</v>
      </c>
      <c r="Y24" s="9">
        <v>173250.92</v>
      </c>
      <c r="Z24" s="9">
        <v>0</v>
      </c>
      <c r="AA24" s="9">
        <v>0</v>
      </c>
    </row>
    <row r="25" spans="1:27" x14ac:dyDescent="0.25">
      <c r="A25" s="12">
        <v>37529</v>
      </c>
      <c r="B25" s="9">
        <v>9.6999999999999993</v>
      </c>
      <c r="C25" s="9">
        <v>0</v>
      </c>
      <c r="D25" s="9">
        <v>0</v>
      </c>
      <c r="E25" s="9">
        <v>98.31</v>
      </c>
      <c r="F25" s="9">
        <v>0</v>
      </c>
      <c r="G25" s="9">
        <v>0</v>
      </c>
      <c r="H25" s="9">
        <v>9.1</v>
      </c>
      <c r="I25" s="9">
        <v>0.65690000000000004</v>
      </c>
      <c r="J25" s="9">
        <v>-0.7</v>
      </c>
      <c r="K25" s="9">
        <v>-1.4</v>
      </c>
      <c r="L25" s="9">
        <v>-1</v>
      </c>
      <c r="M25" s="9">
        <v>-1.1599999999999999</v>
      </c>
      <c r="N25" s="9">
        <v>15.9</v>
      </c>
      <c r="O25" s="9">
        <v>16.5</v>
      </c>
      <c r="P25" s="11">
        <v>0</v>
      </c>
      <c r="Q25" s="9">
        <v>0</v>
      </c>
      <c r="R25" s="9">
        <v>0</v>
      </c>
      <c r="S25" s="9">
        <v>14404</v>
      </c>
      <c r="T25" s="9">
        <v>0</v>
      </c>
      <c r="U25" s="9">
        <v>13.8</v>
      </c>
      <c r="V25" s="9">
        <v>0</v>
      </c>
      <c r="W25" s="9">
        <v>0</v>
      </c>
      <c r="X25" s="9">
        <v>66799.760000000009</v>
      </c>
      <c r="Y25" s="9">
        <v>176985.21</v>
      </c>
      <c r="Z25" s="9">
        <v>0</v>
      </c>
      <c r="AA25" s="9">
        <v>0</v>
      </c>
    </row>
    <row r="26" spans="1:27" x14ac:dyDescent="0.25">
      <c r="A26" s="12">
        <v>37560</v>
      </c>
      <c r="B26" s="9">
        <v>0</v>
      </c>
      <c r="C26" s="9">
        <v>0</v>
      </c>
      <c r="D26" s="9">
        <v>0</v>
      </c>
      <c r="E26" s="9">
        <v>98.89</v>
      </c>
      <c r="F26" s="9">
        <v>0</v>
      </c>
      <c r="G26" s="9">
        <v>0</v>
      </c>
      <c r="H26" s="9">
        <v>9.4</v>
      </c>
      <c r="I26" s="9">
        <v>0</v>
      </c>
      <c r="J26" s="9">
        <v>-0.8</v>
      </c>
      <c r="K26" s="9">
        <v>-1</v>
      </c>
      <c r="L26" s="9">
        <v>-1.2</v>
      </c>
      <c r="M26" s="9">
        <v>-0.56000000000000005</v>
      </c>
      <c r="N26" s="9">
        <v>17.899999999999999</v>
      </c>
      <c r="O26" s="9">
        <v>17</v>
      </c>
      <c r="P26" s="11">
        <v>0</v>
      </c>
      <c r="Q26" s="9">
        <v>0</v>
      </c>
      <c r="R26" s="9">
        <v>0</v>
      </c>
      <c r="S26" s="9">
        <v>15199</v>
      </c>
      <c r="T26" s="9">
        <v>0</v>
      </c>
      <c r="U26" s="9">
        <v>14.2</v>
      </c>
      <c r="V26" s="9">
        <v>0</v>
      </c>
      <c r="W26" s="9">
        <v>0</v>
      </c>
      <c r="X26" s="9">
        <v>67100.25</v>
      </c>
      <c r="Y26" s="9">
        <v>177294.15</v>
      </c>
      <c r="Z26" s="9">
        <v>0</v>
      </c>
      <c r="AA26" s="9">
        <v>0</v>
      </c>
    </row>
    <row r="27" spans="1:27" x14ac:dyDescent="0.25">
      <c r="A27" s="12">
        <v>37590</v>
      </c>
      <c r="B27" s="9">
        <v>0</v>
      </c>
      <c r="C27" s="9">
        <v>0</v>
      </c>
      <c r="D27" s="9">
        <v>0</v>
      </c>
      <c r="E27" s="9">
        <v>98.42</v>
      </c>
      <c r="F27" s="9">
        <v>0</v>
      </c>
      <c r="G27" s="9">
        <v>0</v>
      </c>
      <c r="H27" s="9">
        <v>9.1</v>
      </c>
      <c r="I27" s="9">
        <v>0</v>
      </c>
      <c r="J27" s="9">
        <v>-0.7</v>
      </c>
      <c r="K27" s="9">
        <v>-0.4</v>
      </c>
      <c r="L27" s="9">
        <v>-0.9</v>
      </c>
      <c r="M27" s="9">
        <v>0.53</v>
      </c>
      <c r="N27" s="9">
        <v>18.5</v>
      </c>
      <c r="O27" s="9">
        <v>16.600000000000001</v>
      </c>
      <c r="P27" s="11">
        <v>0</v>
      </c>
      <c r="Q27" s="9">
        <v>0</v>
      </c>
      <c r="R27" s="9">
        <v>0</v>
      </c>
      <c r="S27" s="9">
        <v>17004</v>
      </c>
      <c r="T27" s="9">
        <v>0</v>
      </c>
      <c r="U27" s="9">
        <v>14.5</v>
      </c>
      <c r="V27" s="9">
        <v>0</v>
      </c>
      <c r="W27" s="9">
        <v>0</v>
      </c>
      <c r="X27" s="9">
        <v>67992.78</v>
      </c>
      <c r="Y27" s="9">
        <v>179736.25999999998</v>
      </c>
      <c r="Z27" s="9">
        <v>0</v>
      </c>
      <c r="AA27" s="9">
        <v>0</v>
      </c>
    </row>
    <row r="28" spans="1:27" x14ac:dyDescent="0.25">
      <c r="A28" s="12">
        <v>37621</v>
      </c>
      <c r="B28" s="9">
        <v>9.1999999999999993</v>
      </c>
      <c r="C28" s="9">
        <v>0</v>
      </c>
      <c r="D28" s="9">
        <v>0</v>
      </c>
      <c r="E28" s="9">
        <v>99.079999999999984</v>
      </c>
      <c r="F28" s="9">
        <v>0</v>
      </c>
      <c r="G28" s="9">
        <v>0</v>
      </c>
      <c r="H28" s="9">
        <v>9.1999999999999993</v>
      </c>
      <c r="I28" s="9">
        <v>1.0613999999999999</v>
      </c>
      <c r="J28" s="9">
        <v>-0.4</v>
      </c>
      <c r="K28" s="9">
        <v>0.4</v>
      </c>
      <c r="L28" s="9">
        <v>-0.3</v>
      </c>
      <c r="M28" s="9">
        <v>1.34</v>
      </c>
      <c r="N28" s="9">
        <v>16.82</v>
      </c>
      <c r="O28" s="9">
        <v>16.78</v>
      </c>
      <c r="P28" s="11">
        <v>0</v>
      </c>
      <c r="Q28" s="9">
        <v>0</v>
      </c>
      <c r="R28" s="9">
        <v>0</v>
      </c>
      <c r="S28" s="9">
        <v>20112</v>
      </c>
      <c r="T28" s="9">
        <v>14.853199999999999</v>
      </c>
      <c r="U28" s="9">
        <v>14.9</v>
      </c>
      <c r="V28" s="9">
        <v>0</v>
      </c>
      <c r="W28" s="9">
        <v>0</v>
      </c>
      <c r="X28" s="9">
        <v>70881.790000000008</v>
      </c>
      <c r="Y28" s="9">
        <v>185006.97</v>
      </c>
      <c r="Z28" s="9">
        <v>0</v>
      </c>
      <c r="AA28" s="9">
        <v>0</v>
      </c>
    </row>
    <row r="29" spans="1:27" x14ac:dyDescent="0.25">
      <c r="A29" s="12">
        <v>37652</v>
      </c>
      <c r="B29" s="9">
        <v>0</v>
      </c>
      <c r="C29" s="9">
        <v>0</v>
      </c>
      <c r="D29" s="9">
        <v>0</v>
      </c>
      <c r="E29" s="9">
        <v>100</v>
      </c>
      <c r="F29" s="9">
        <v>0</v>
      </c>
      <c r="G29" s="9">
        <v>0</v>
      </c>
      <c r="H29" s="9">
        <v>10</v>
      </c>
      <c r="I29" s="9">
        <v>0</v>
      </c>
      <c r="J29" s="9">
        <v>0.4</v>
      </c>
      <c r="K29" s="9">
        <v>2.4</v>
      </c>
      <c r="L29" s="9">
        <v>-0.6</v>
      </c>
      <c r="M29" s="9">
        <v>3.2</v>
      </c>
      <c r="N29" s="9">
        <v>19.5</v>
      </c>
      <c r="O29" s="9">
        <v>19.3</v>
      </c>
      <c r="P29" s="11">
        <v>0</v>
      </c>
      <c r="Q29" s="9">
        <v>0</v>
      </c>
      <c r="R29" s="9">
        <v>0</v>
      </c>
      <c r="S29" s="9">
        <v>3386</v>
      </c>
      <c r="T29" s="9">
        <v>0</v>
      </c>
      <c r="U29" s="9">
        <v>14.8</v>
      </c>
      <c r="V29" s="9">
        <v>0</v>
      </c>
      <c r="W29" s="9">
        <v>0</v>
      </c>
      <c r="X29" s="9">
        <v>72405.66</v>
      </c>
      <c r="Y29" s="9">
        <v>190545.05</v>
      </c>
      <c r="Z29" s="9">
        <v>0</v>
      </c>
      <c r="AA29" s="9">
        <v>0</v>
      </c>
    </row>
    <row r="30" spans="1:27" x14ac:dyDescent="0.25">
      <c r="A30" s="12">
        <v>37680</v>
      </c>
      <c r="B30" s="9">
        <v>0</v>
      </c>
      <c r="C30" s="9">
        <v>0</v>
      </c>
      <c r="D30" s="9">
        <v>0</v>
      </c>
      <c r="E30" s="9">
        <v>100.91</v>
      </c>
      <c r="F30" s="9">
        <v>0</v>
      </c>
      <c r="G30" s="9">
        <v>0</v>
      </c>
      <c r="H30" s="9">
        <v>8.5</v>
      </c>
      <c r="I30" s="9">
        <v>0</v>
      </c>
      <c r="J30" s="9">
        <v>0.2</v>
      </c>
      <c r="K30" s="9">
        <v>4</v>
      </c>
      <c r="L30" s="9">
        <v>-0.3</v>
      </c>
      <c r="M30" s="9">
        <v>4.78</v>
      </c>
      <c r="N30" s="9">
        <v>18.8</v>
      </c>
      <c r="O30" s="9">
        <v>18.100000000000001</v>
      </c>
      <c r="P30" s="11">
        <v>0</v>
      </c>
      <c r="Q30" s="9">
        <v>0</v>
      </c>
      <c r="R30" s="9">
        <v>0</v>
      </c>
      <c r="S30" s="9">
        <v>4384</v>
      </c>
      <c r="T30" s="9">
        <v>0</v>
      </c>
      <c r="U30" s="9">
        <v>19.8</v>
      </c>
      <c r="V30" s="9">
        <v>0</v>
      </c>
      <c r="W30" s="9">
        <v>0</v>
      </c>
      <c r="X30" s="9">
        <v>69756.639999999999</v>
      </c>
      <c r="Y30" s="9">
        <v>190108.41</v>
      </c>
      <c r="Z30" s="9">
        <v>0</v>
      </c>
      <c r="AA30" s="9">
        <v>0</v>
      </c>
    </row>
    <row r="31" spans="1:27" x14ac:dyDescent="0.25">
      <c r="A31" s="12">
        <v>37711</v>
      </c>
      <c r="B31" s="9">
        <v>11.2</v>
      </c>
      <c r="C31" s="9">
        <v>0</v>
      </c>
      <c r="D31" s="9">
        <v>0</v>
      </c>
      <c r="E31" s="9">
        <v>100.21000000000001</v>
      </c>
      <c r="F31" s="9">
        <v>0</v>
      </c>
      <c r="G31" s="9">
        <v>0</v>
      </c>
      <c r="H31" s="9">
        <v>9.3000000000000007</v>
      </c>
      <c r="I31" s="9">
        <v>2.0941000000000001</v>
      </c>
      <c r="J31" s="9">
        <v>0.9</v>
      </c>
      <c r="K31" s="9">
        <v>4.5999999999999996</v>
      </c>
      <c r="L31" s="9">
        <v>0.2</v>
      </c>
      <c r="M31" s="9">
        <v>5.8</v>
      </c>
      <c r="N31" s="9">
        <v>20.12</v>
      </c>
      <c r="O31" s="9">
        <v>18.54</v>
      </c>
      <c r="P31" s="11">
        <v>0</v>
      </c>
      <c r="Q31" s="9">
        <v>0</v>
      </c>
      <c r="R31" s="9">
        <v>0</v>
      </c>
      <c r="S31" s="9">
        <v>8425</v>
      </c>
      <c r="T31" s="9">
        <v>0</v>
      </c>
      <c r="U31" s="9">
        <v>16.899999999999999</v>
      </c>
      <c r="V31" s="9">
        <v>0</v>
      </c>
      <c r="W31" s="9">
        <v>0</v>
      </c>
      <c r="X31" s="9">
        <v>71438.820000000007</v>
      </c>
      <c r="Y31" s="9">
        <v>194487.30000000002</v>
      </c>
      <c r="Z31" s="9">
        <v>0</v>
      </c>
      <c r="AA31" s="9">
        <v>0</v>
      </c>
    </row>
    <row r="32" spans="1:27" x14ac:dyDescent="0.25">
      <c r="A32" s="12">
        <v>37741</v>
      </c>
      <c r="B32" s="9">
        <v>0</v>
      </c>
      <c r="C32" s="9">
        <v>0</v>
      </c>
      <c r="D32" s="9">
        <v>0</v>
      </c>
      <c r="E32" s="9">
        <v>99.09</v>
      </c>
      <c r="F32" s="9">
        <v>0</v>
      </c>
      <c r="G32" s="9">
        <v>0</v>
      </c>
      <c r="H32" s="9">
        <v>7.7</v>
      </c>
      <c r="I32" s="9">
        <v>0</v>
      </c>
      <c r="J32" s="9">
        <v>1</v>
      </c>
      <c r="K32" s="9">
        <v>3.6</v>
      </c>
      <c r="L32" s="9">
        <v>0.1</v>
      </c>
      <c r="M32" s="9">
        <v>5.93</v>
      </c>
      <c r="N32" s="9">
        <v>18</v>
      </c>
      <c r="O32" s="9">
        <v>19.2</v>
      </c>
      <c r="P32" s="11">
        <v>0</v>
      </c>
      <c r="Q32" s="9">
        <v>0</v>
      </c>
      <c r="R32" s="9">
        <v>0</v>
      </c>
      <c r="S32" s="9">
        <v>11047</v>
      </c>
      <c r="T32" s="9">
        <v>0</v>
      </c>
      <c r="U32" s="9">
        <v>14.9</v>
      </c>
      <c r="V32" s="9">
        <v>0</v>
      </c>
      <c r="W32" s="9">
        <v>0</v>
      </c>
      <c r="X32" s="9">
        <v>71321.240000000005</v>
      </c>
      <c r="Y32" s="9">
        <v>196130.13000000003</v>
      </c>
      <c r="Z32" s="9">
        <v>0</v>
      </c>
      <c r="AA32" s="9">
        <v>0</v>
      </c>
    </row>
    <row r="33" spans="1:27" x14ac:dyDescent="0.25">
      <c r="A33" s="12">
        <v>37772</v>
      </c>
      <c r="B33" s="9">
        <v>0</v>
      </c>
      <c r="C33" s="9">
        <v>0</v>
      </c>
      <c r="D33" s="9">
        <v>0</v>
      </c>
      <c r="E33" s="9">
        <v>99.05</v>
      </c>
      <c r="F33" s="9">
        <v>0</v>
      </c>
      <c r="G33" s="9">
        <v>0</v>
      </c>
      <c r="H33" s="9">
        <v>4.3</v>
      </c>
      <c r="I33" s="9">
        <v>0</v>
      </c>
      <c r="J33" s="9">
        <v>0.7</v>
      </c>
      <c r="K33" s="9">
        <v>2</v>
      </c>
      <c r="L33" s="9">
        <v>-0.6</v>
      </c>
      <c r="M33" s="9">
        <v>4.3600000000000003</v>
      </c>
      <c r="N33" s="9">
        <v>18.8</v>
      </c>
      <c r="O33" s="9">
        <v>20.2</v>
      </c>
      <c r="P33" s="11">
        <v>0</v>
      </c>
      <c r="Q33" s="9">
        <v>0</v>
      </c>
      <c r="R33" s="9">
        <v>0</v>
      </c>
      <c r="S33" s="9">
        <v>14018</v>
      </c>
      <c r="T33" s="9">
        <v>0</v>
      </c>
      <c r="U33" s="9">
        <v>13.7</v>
      </c>
      <c r="V33" s="9">
        <v>0</v>
      </c>
      <c r="W33" s="9">
        <v>0</v>
      </c>
      <c r="X33" s="9">
        <v>72777.84</v>
      </c>
      <c r="Y33" s="9">
        <v>199505.18999999997</v>
      </c>
      <c r="Z33" s="9">
        <v>0</v>
      </c>
      <c r="AA33" s="9">
        <v>0</v>
      </c>
    </row>
    <row r="34" spans="1:27" x14ac:dyDescent="0.25">
      <c r="A34" s="12">
        <v>37802</v>
      </c>
      <c r="B34" s="9">
        <v>9.1999999999999993</v>
      </c>
      <c r="C34" s="9">
        <v>0</v>
      </c>
      <c r="D34" s="9">
        <v>0</v>
      </c>
      <c r="E34" s="9">
        <v>99.45</v>
      </c>
      <c r="F34" s="9">
        <v>0</v>
      </c>
      <c r="G34" s="9">
        <v>0</v>
      </c>
      <c r="H34" s="9">
        <v>8.3000000000000007</v>
      </c>
      <c r="I34" s="9">
        <v>2.153</v>
      </c>
      <c r="J34" s="9">
        <v>0.3</v>
      </c>
      <c r="K34" s="9">
        <v>1.3</v>
      </c>
      <c r="L34" s="9">
        <v>-1.3</v>
      </c>
      <c r="M34" s="9">
        <v>3.88</v>
      </c>
      <c r="N34" s="9">
        <v>20.239999999999998</v>
      </c>
      <c r="O34" s="9">
        <v>20.83</v>
      </c>
      <c r="P34" s="11">
        <v>0</v>
      </c>
      <c r="Q34" s="9">
        <v>0</v>
      </c>
      <c r="R34" s="9">
        <v>0</v>
      </c>
      <c r="S34" s="9">
        <v>19860</v>
      </c>
      <c r="T34" s="9">
        <v>0</v>
      </c>
      <c r="U34" s="9">
        <v>16.899999999999999</v>
      </c>
      <c r="V34" s="9">
        <v>0</v>
      </c>
      <c r="W34" s="9">
        <v>0</v>
      </c>
      <c r="X34" s="9">
        <v>75923.23000000001</v>
      </c>
      <c r="Y34" s="9">
        <v>204907.42</v>
      </c>
      <c r="Z34" s="9">
        <v>0</v>
      </c>
      <c r="AA34" s="9">
        <v>0</v>
      </c>
    </row>
    <row r="35" spans="1:27" x14ac:dyDescent="0.25">
      <c r="A35" s="12">
        <v>37833</v>
      </c>
      <c r="B35" s="9">
        <v>0</v>
      </c>
      <c r="C35" s="9">
        <v>0</v>
      </c>
      <c r="D35" s="9">
        <v>0</v>
      </c>
      <c r="E35" s="9">
        <v>99.929999999999993</v>
      </c>
      <c r="F35" s="9">
        <v>0</v>
      </c>
      <c r="G35" s="9">
        <v>0</v>
      </c>
      <c r="H35" s="9">
        <v>9.8000000000000007</v>
      </c>
      <c r="I35" s="9">
        <v>0</v>
      </c>
      <c r="J35" s="9">
        <v>0.5</v>
      </c>
      <c r="K35" s="9">
        <v>1.4</v>
      </c>
      <c r="L35" s="9">
        <v>-1.2</v>
      </c>
      <c r="M35" s="9">
        <v>4</v>
      </c>
      <c r="N35" s="9">
        <v>20</v>
      </c>
      <c r="O35" s="9">
        <v>20.7</v>
      </c>
      <c r="P35" s="11">
        <v>0</v>
      </c>
      <c r="Q35" s="9">
        <v>0</v>
      </c>
      <c r="R35" s="9">
        <v>0</v>
      </c>
      <c r="S35" s="9">
        <v>21204</v>
      </c>
      <c r="T35" s="9">
        <v>0</v>
      </c>
      <c r="U35" s="9">
        <v>16.5</v>
      </c>
      <c r="V35" s="9">
        <v>0</v>
      </c>
      <c r="W35" s="9">
        <v>0</v>
      </c>
      <c r="X35" s="9">
        <v>76152.76999999999</v>
      </c>
      <c r="Y35" s="9">
        <v>206193.07</v>
      </c>
      <c r="Z35" s="9">
        <v>0</v>
      </c>
      <c r="AA35" s="9">
        <v>0</v>
      </c>
    </row>
    <row r="36" spans="1:27" x14ac:dyDescent="0.25">
      <c r="A36" s="12">
        <v>37864</v>
      </c>
      <c r="B36" s="9">
        <v>0</v>
      </c>
      <c r="C36" s="9">
        <v>0</v>
      </c>
      <c r="D36" s="9">
        <v>0</v>
      </c>
      <c r="E36" s="9">
        <v>99.929999999999993</v>
      </c>
      <c r="F36" s="9">
        <v>0</v>
      </c>
      <c r="G36" s="9">
        <v>0</v>
      </c>
      <c r="H36" s="9">
        <v>9.9</v>
      </c>
      <c r="I36" s="9">
        <v>0</v>
      </c>
      <c r="J36" s="9">
        <v>0.9</v>
      </c>
      <c r="K36" s="9">
        <v>1.4</v>
      </c>
      <c r="L36" s="9">
        <v>-0.7</v>
      </c>
      <c r="M36" s="9">
        <v>4</v>
      </c>
      <c r="N36" s="9">
        <v>18.75</v>
      </c>
      <c r="O36" s="9">
        <v>21.55</v>
      </c>
      <c r="P36" s="11">
        <v>0</v>
      </c>
      <c r="Q36" s="9">
        <v>0</v>
      </c>
      <c r="R36" s="9">
        <v>0</v>
      </c>
      <c r="S36" s="9">
        <v>24525</v>
      </c>
      <c r="T36" s="9">
        <v>0</v>
      </c>
      <c r="U36" s="9">
        <v>17.100000000000001</v>
      </c>
      <c r="V36" s="9">
        <v>0</v>
      </c>
      <c r="W36" s="9">
        <v>0</v>
      </c>
      <c r="X36" s="9">
        <v>77032.98</v>
      </c>
      <c r="Y36" s="9">
        <v>210591.90000000002</v>
      </c>
      <c r="Z36" s="9">
        <v>0</v>
      </c>
      <c r="AA36" s="9">
        <v>0</v>
      </c>
    </row>
    <row r="37" spans="1:27" x14ac:dyDescent="0.25">
      <c r="A37" s="12">
        <v>37894</v>
      </c>
      <c r="B37" s="9">
        <v>10.1</v>
      </c>
      <c r="C37" s="9">
        <v>0</v>
      </c>
      <c r="D37" s="9">
        <v>0</v>
      </c>
      <c r="E37" s="9">
        <v>99.91</v>
      </c>
      <c r="F37" s="9">
        <v>0</v>
      </c>
      <c r="G37" s="9">
        <v>0</v>
      </c>
      <c r="H37" s="9">
        <v>9.5</v>
      </c>
      <c r="I37" s="9">
        <v>2.6434000000000002</v>
      </c>
      <c r="J37" s="9">
        <v>1.1000000000000001</v>
      </c>
      <c r="K37" s="9">
        <v>1.4</v>
      </c>
      <c r="L37" s="9">
        <v>-0.4</v>
      </c>
      <c r="M37" s="9">
        <v>4.0999999999999996</v>
      </c>
      <c r="N37" s="9">
        <v>18.510000000000002</v>
      </c>
      <c r="O37" s="9">
        <v>20.67</v>
      </c>
      <c r="P37" s="11">
        <v>0</v>
      </c>
      <c r="Q37" s="9">
        <v>0</v>
      </c>
      <c r="R37" s="9">
        <v>0</v>
      </c>
      <c r="S37" s="9">
        <v>28565</v>
      </c>
      <c r="T37" s="9">
        <v>0</v>
      </c>
      <c r="U37" s="9">
        <v>16.3</v>
      </c>
      <c r="V37" s="9">
        <v>0</v>
      </c>
      <c r="W37" s="9">
        <v>0</v>
      </c>
      <c r="X37" s="9">
        <v>79163.88</v>
      </c>
      <c r="Y37" s="9">
        <v>213567.13</v>
      </c>
      <c r="Z37" s="9">
        <v>0</v>
      </c>
      <c r="AA37" s="9">
        <v>0</v>
      </c>
    </row>
    <row r="38" spans="1:27" x14ac:dyDescent="0.25">
      <c r="A38" s="12">
        <v>37925</v>
      </c>
      <c r="B38" s="9">
        <v>0</v>
      </c>
      <c r="C38" s="9">
        <v>0</v>
      </c>
      <c r="D38" s="9">
        <v>0</v>
      </c>
      <c r="E38" s="9">
        <v>99.98</v>
      </c>
      <c r="F38" s="9">
        <v>0</v>
      </c>
      <c r="G38" s="9">
        <v>0</v>
      </c>
      <c r="H38" s="9">
        <v>10.199999999999999</v>
      </c>
      <c r="I38" s="9">
        <v>0</v>
      </c>
      <c r="J38" s="9">
        <v>1.8</v>
      </c>
      <c r="K38" s="9">
        <v>1.2</v>
      </c>
      <c r="L38" s="9">
        <v>0.3</v>
      </c>
      <c r="M38" s="9">
        <v>4.5999999999999996</v>
      </c>
      <c r="N38" s="9">
        <v>19.62</v>
      </c>
      <c r="O38" s="9">
        <v>20.97</v>
      </c>
      <c r="P38" s="11">
        <v>0</v>
      </c>
      <c r="Q38" s="9">
        <v>0</v>
      </c>
      <c r="R38" s="9">
        <v>0</v>
      </c>
      <c r="S38" s="9">
        <v>29783</v>
      </c>
      <c r="T38" s="9">
        <v>0</v>
      </c>
      <c r="U38" s="9">
        <v>17.2</v>
      </c>
      <c r="V38" s="9">
        <v>0</v>
      </c>
      <c r="W38" s="9">
        <v>0</v>
      </c>
      <c r="X38" s="9">
        <v>80267.100000000006</v>
      </c>
      <c r="Y38" s="9">
        <v>214469.36</v>
      </c>
      <c r="Z38" s="9">
        <v>0</v>
      </c>
      <c r="AA38" s="9">
        <v>0</v>
      </c>
    </row>
    <row r="39" spans="1:27" x14ac:dyDescent="0.25">
      <c r="A39" s="12">
        <v>37955</v>
      </c>
      <c r="B39" s="9">
        <v>0</v>
      </c>
      <c r="C39" s="9">
        <v>0</v>
      </c>
      <c r="D39" s="9">
        <v>0</v>
      </c>
      <c r="E39" s="9">
        <v>100.39</v>
      </c>
      <c r="F39" s="9">
        <v>0</v>
      </c>
      <c r="G39" s="9">
        <v>0</v>
      </c>
      <c r="H39" s="9">
        <v>9.6999999999999993</v>
      </c>
      <c r="I39" s="9">
        <v>0</v>
      </c>
      <c r="J39" s="9">
        <v>3</v>
      </c>
      <c r="K39" s="9">
        <v>1.9</v>
      </c>
      <c r="L39" s="9">
        <v>1.4</v>
      </c>
      <c r="M39" s="9">
        <v>5.85</v>
      </c>
      <c r="N39" s="9">
        <v>18.86</v>
      </c>
      <c r="O39" s="9">
        <v>20.37</v>
      </c>
      <c r="P39" s="11">
        <v>0</v>
      </c>
      <c r="Q39" s="9">
        <v>0</v>
      </c>
      <c r="R39" s="9">
        <v>0</v>
      </c>
      <c r="S39" s="9">
        <v>31615</v>
      </c>
      <c r="T39" s="9">
        <v>0</v>
      </c>
      <c r="U39" s="9">
        <v>17.899999999999999</v>
      </c>
      <c r="V39" s="9">
        <v>0</v>
      </c>
      <c r="W39" s="9">
        <v>0</v>
      </c>
      <c r="X39" s="9">
        <v>80814.929999999993</v>
      </c>
      <c r="Y39" s="9">
        <v>216351.73</v>
      </c>
      <c r="Z39" s="9">
        <v>0</v>
      </c>
      <c r="AA39" s="9">
        <v>0</v>
      </c>
    </row>
    <row r="40" spans="1:27" x14ac:dyDescent="0.25">
      <c r="A40" s="12">
        <v>37986</v>
      </c>
      <c r="B40" s="9">
        <v>10.1</v>
      </c>
      <c r="C40" s="9">
        <v>0</v>
      </c>
      <c r="D40" s="9">
        <v>0</v>
      </c>
      <c r="E40" s="9">
        <v>101.03</v>
      </c>
      <c r="F40" s="9">
        <v>0</v>
      </c>
      <c r="G40" s="9">
        <v>0</v>
      </c>
      <c r="H40" s="9">
        <v>10.9</v>
      </c>
      <c r="I40" s="9">
        <v>3.3797000000000001</v>
      </c>
      <c r="J40" s="9">
        <v>3.2</v>
      </c>
      <c r="K40" s="9">
        <v>3</v>
      </c>
      <c r="L40" s="9">
        <v>1.9</v>
      </c>
      <c r="M40" s="9">
        <v>7.05</v>
      </c>
      <c r="N40" s="9">
        <v>18.7</v>
      </c>
      <c r="O40" s="9">
        <v>19.600000000000001</v>
      </c>
      <c r="P40" s="11">
        <v>22.3</v>
      </c>
      <c r="Q40" s="9">
        <v>0</v>
      </c>
      <c r="R40" s="9">
        <v>0</v>
      </c>
      <c r="S40" s="9">
        <v>34113</v>
      </c>
      <c r="T40" s="9">
        <v>18.165500000000002</v>
      </c>
      <c r="U40" s="9">
        <v>18.100000000000001</v>
      </c>
      <c r="V40" s="9">
        <v>0</v>
      </c>
      <c r="W40" s="9">
        <v>0</v>
      </c>
      <c r="X40" s="9">
        <v>84118.569999999992</v>
      </c>
      <c r="Y40" s="9">
        <v>221222.81999999998</v>
      </c>
      <c r="Z40" s="9">
        <v>0</v>
      </c>
      <c r="AA40" s="9">
        <v>0</v>
      </c>
    </row>
    <row r="41" spans="1:27" x14ac:dyDescent="0.25">
      <c r="A41" s="12">
        <v>38017</v>
      </c>
      <c r="B41" s="9">
        <v>0</v>
      </c>
      <c r="C41" s="9">
        <v>0</v>
      </c>
      <c r="D41" s="9">
        <v>0</v>
      </c>
      <c r="E41" s="9">
        <v>101.86999999999999</v>
      </c>
      <c r="F41" s="9">
        <v>0</v>
      </c>
      <c r="G41" s="9">
        <v>0</v>
      </c>
      <c r="H41" s="9">
        <v>11.8</v>
      </c>
      <c r="I41" s="9">
        <v>0</v>
      </c>
      <c r="J41" s="9">
        <v>3.2</v>
      </c>
      <c r="K41" s="9">
        <v>3.5</v>
      </c>
      <c r="L41" s="9">
        <v>1.7</v>
      </c>
      <c r="M41" s="9">
        <v>7.44</v>
      </c>
      <c r="N41" s="9">
        <v>15.7</v>
      </c>
      <c r="O41" s="9">
        <v>18.100000000000001</v>
      </c>
      <c r="P41" s="11">
        <v>0</v>
      </c>
      <c r="Q41" s="9">
        <v>0</v>
      </c>
      <c r="R41" s="9">
        <v>0</v>
      </c>
      <c r="S41" s="9">
        <v>2114</v>
      </c>
      <c r="T41" s="9">
        <v>0</v>
      </c>
      <c r="U41" s="9">
        <v>7.2</v>
      </c>
      <c r="V41" s="9">
        <v>0</v>
      </c>
      <c r="W41" s="9">
        <v>0</v>
      </c>
      <c r="X41" s="9">
        <v>83805.899999999994</v>
      </c>
      <c r="Y41" s="9">
        <v>225101.93000000002</v>
      </c>
      <c r="Z41" s="9">
        <v>0</v>
      </c>
      <c r="AA41" s="9">
        <v>0</v>
      </c>
    </row>
    <row r="42" spans="1:27" x14ac:dyDescent="0.25">
      <c r="A42" s="12">
        <v>38046</v>
      </c>
      <c r="B42" s="9">
        <v>0</v>
      </c>
      <c r="C42" s="9">
        <v>0</v>
      </c>
      <c r="D42" s="9">
        <v>0</v>
      </c>
      <c r="E42" s="9">
        <v>102.35</v>
      </c>
      <c r="F42" s="9">
        <v>0</v>
      </c>
      <c r="G42" s="9">
        <v>0</v>
      </c>
      <c r="H42" s="9">
        <v>9.1999999999999993</v>
      </c>
      <c r="I42" s="9">
        <v>0</v>
      </c>
      <c r="J42" s="9">
        <v>2.1</v>
      </c>
      <c r="K42" s="9">
        <v>3.5</v>
      </c>
      <c r="L42" s="9">
        <v>0.9</v>
      </c>
      <c r="M42" s="9">
        <v>8.1</v>
      </c>
      <c r="N42" s="9">
        <v>19.8</v>
      </c>
      <c r="O42" s="9">
        <v>19.399999999999999</v>
      </c>
      <c r="P42" s="11">
        <v>0</v>
      </c>
      <c r="Q42" s="9">
        <v>0</v>
      </c>
      <c r="R42" s="9">
        <v>0</v>
      </c>
      <c r="S42" s="9">
        <v>2552</v>
      </c>
      <c r="T42" s="9">
        <v>0</v>
      </c>
      <c r="U42" s="9">
        <v>23.2</v>
      </c>
      <c r="V42" s="9">
        <v>0</v>
      </c>
      <c r="W42" s="9">
        <v>0</v>
      </c>
      <c r="X42" s="9">
        <v>83556.430000000008</v>
      </c>
      <c r="Y42" s="9">
        <v>227050.72</v>
      </c>
      <c r="Z42" s="9">
        <v>0</v>
      </c>
      <c r="AA42" s="9">
        <v>0</v>
      </c>
    </row>
    <row r="43" spans="1:27" x14ac:dyDescent="0.25">
      <c r="A43" s="12">
        <v>38077</v>
      </c>
      <c r="B43" s="9">
        <v>10.6</v>
      </c>
      <c r="C43" s="9">
        <v>0</v>
      </c>
      <c r="D43" s="9">
        <v>0</v>
      </c>
      <c r="E43" s="9">
        <v>102.64</v>
      </c>
      <c r="F43" s="9">
        <v>0</v>
      </c>
      <c r="G43" s="9">
        <v>0</v>
      </c>
      <c r="H43" s="9">
        <v>11.1</v>
      </c>
      <c r="I43" s="9">
        <v>4.7218999999999998</v>
      </c>
      <c r="J43" s="9">
        <v>3</v>
      </c>
      <c r="K43" s="9">
        <v>4</v>
      </c>
      <c r="L43" s="9">
        <v>1.7</v>
      </c>
      <c r="M43" s="9">
        <v>9.4499999999999993</v>
      </c>
      <c r="N43" s="9">
        <v>20.100000000000001</v>
      </c>
      <c r="O43" s="9">
        <v>19.100000000000001</v>
      </c>
      <c r="P43" s="11">
        <v>0</v>
      </c>
      <c r="Q43" s="9">
        <v>0</v>
      </c>
      <c r="R43" s="9">
        <v>0</v>
      </c>
      <c r="S43" s="9">
        <v>9109</v>
      </c>
      <c r="T43" s="9">
        <v>0</v>
      </c>
      <c r="U43" s="9">
        <v>19.399999999999999</v>
      </c>
      <c r="V43" s="9">
        <v>0</v>
      </c>
      <c r="W43" s="9">
        <v>0</v>
      </c>
      <c r="X43" s="9">
        <v>85815.57</v>
      </c>
      <c r="Y43" s="9">
        <v>231654.6</v>
      </c>
      <c r="Z43" s="9">
        <v>0</v>
      </c>
      <c r="AA43" s="9">
        <v>0</v>
      </c>
    </row>
    <row r="44" spans="1:27" x14ac:dyDescent="0.25">
      <c r="A44" s="12">
        <v>38107</v>
      </c>
      <c r="B44" s="9">
        <v>0</v>
      </c>
      <c r="C44" s="9">
        <v>0</v>
      </c>
      <c r="D44" s="9">
        <v>0</v>
      </c>
      <c r="E44" s="9">
        <v>102.50999999999999</v>
      </c>
      <c r="F44" s="9">
        <v>0</v>
      </c>
      <c r="G44" s="9">
        <v>0</v>
      </c>
      <c r="H44" s="9">
        <v>13.2</v>
      </c>
      <c r="I44" s="9">
        <v>0</v>
      </c>
      <c r="J44" s="9">
        <v>3.8</v>
      </c>
      <c r="K44" s="9">
        <v>5</v>
      </c>
      <c r="L44" s="9">
        <v>2.6</v>
      </c>
      <c r="M44" s="9">
        <v>10.49</v>
      </c>
      <c r="N44" s="9">
        <v>20</v>
      </c>
      <c r="O44" s="9">
        <v>19.100000000000001</v>
      </c>
      <c r="P44" s="11">
        <v>0</v>
      </c>
      <c r="Q44" s="9">
        <v>0</v>
      </c>
      <c r="R44" s="9">
        <v>0</v>
      </c>
      <c r="S44" s="9">
        <v>11840</v>
      </c>
      <c r="T44" s="9">
        <v>0</v>
      </c>
      <c r="U44" s="9">
        <v>19.100000000000001</v>
      </c>
      <c r="V44" s="9">
        <v>0</v>
      </c>
      <c r="W44" s="9">
        <v>0</v>
      </c>
      <c r="X44" s="9">
        <v>85603.64</v>
      </c>
      <c r="Y44" s="9">
        <v>233627.86</v>
      </c>
      <c r="Z44" s="9">
        <v>0</v>
      </c>
      <c r="AA44" s="9">
        <v>0</v>
      </c>
    </row>
    <row r="45" spans="1:27" x14ac:dyDescent="0.25">
      <c r="A45" s="12">
        <v>38138</v>
      </c>
      <c r="B45" s="9">
        <v>0</v>
      </c>
      <c r="C45" s="9">
        <v>0</v>
      </c>
      <c r="D45" s="9">
        <v>0</v>
      </c>
      <c r="E45" s="9">
        <v>102.21000000000001</v>
      </c>
      <c r="F45" s="9">
        <v>0</v>
      </c>
      <c r="G45" s="9">
        <v>0</v>
      </c>
      <c r="H45" s="9">
        <v>17.8</v>
      </c>
      <c r="I45" s="9">
        <v>0</v>
      </c>
      <c r="J45" s="9">
        <v>4.4000000000000004</v>
      </c>
      <c r="K45" s="9">
        <v>5.7</v>
      </c>
      <c r="L45" s="9">
        <v>3.3</v>
      </c>
      <c r="M45" s="9">
        <v>11.23</v>
      </c>
      <c r="N45" s="9">
        <v>18.600000000000001</v>
      </c>
      <c r="O45" s="9">
        <v>17.5</v>
      </c>
      <c r="P45" s="11">
        <v>0</v>
      </c>
      <c r="Q45" s="9">
        <v>0</v>
      </c>
      <c r="R45" s="9">
        <v>0</v>
      </c>
      <c r="S45" s="9">
        <v>14283</v>
      </c>
      <c r="T45" s="9">
        <v>0</v>
      </c>
      <c r="U45" s="9">
        <v>17.5</v>
      </c>
      <c r="V45" s="9">
        <v>0</v>
      </c>
      <c r="W45" s="9">
        <v>0</v>
      </c>
      <c r="X45" s="9">
        <v>86780.37</v>
      </c>
      <c r="Y45" s="9">
        <v>234842.4</v>
      </c>
      <c r="Z45" s="9">
        <v>0</v>
      </c>
      <c r="AA45" s="9">
        <v>0</v>
      </c>
    </row>
    <row r="46" spans="1:27" x14ac:dyDescent="0.25">
      <c r="A46" s="12">
        <v>38168</v>
      </c>
      <c r="B46" s="9">
        <v>11.6</v>
      </c>
      <c r="C46" s="9">
        <v>0</v>
      </c>
      <c r="D46" s="9">
        <v>0</v>
      </c>
      <c r="E46" s="9">
        <v>101.86</v>
      </c>
      <c r="F46" s="9">
        <v>0</v>
      </c>
      <c r="G46" s="9">
        <v>0</v>
      </c>
      <c r="H46" s="9">
        <v>13.9</v>
      </c>
      <c r="I46" s="9">
        <v>6.5796000000000001</v>
      </c>
      <c r="J46" s="9">
        <v>5</v>
      </c>
      <c r="K46" s="9">
        <v>6.4</v>
      </c>
      <c r="L46" s="9">
        <v>4.0999999999999996</v>
      </c>
      <c r="M46" s="9">
        <v>11.82</v>
      </c>
      <c r="N46" s="9">
        <v>16.2</v>
      </c>
      <c r="O46" s="9">
        <v>16.2</v>
      </c>
      <c r="P46" s="11">
        <v>0</v>
      </c>
      <c r="Q46" s="9">
        <v>0</v>
      </c>
      <c r="R46" s="9">
        <v>0</v>
      </c>
      <c r="S46" s="9">
        <v>17512</v>
      </c>
      <c r="T46" s="9">
        <v>0</v>
      </c>
      <c r="U46" s="9">
        <v>16.2</v>
      </c>
      <c r="V46" s="9">
        <v>0</v>
      </c>
      <c r="W46" s="9">
        <v>0</v>
      </c>
      <c r="X46" s="9">
        <v>88627.14</v>
      </c>
      <c r="Y46" s="9">
        <v>238427.49</v>
      </c>
      <c r="Z46" s="9">
        <v>0</v>
      </c>
      <c r="AA46" s="9">
        <v>0</v>
      </c>
    </row>
    <row r="47" spans="1:27" x14ac:dyDescent="0.25">
      <c r="A47" s="12">
        <v>38199</v>
      </c>
      <c r="B47" s="9">
        <v>0</v>
      </c>
      <c r="C47" s="9">
        <v>0</v>
      </c>
      <c r="D47" s="9">
        <v>0</v>
      </c>
      <c r="E47" s="9">
        <v>101.52</v>
      </c>
      <c r="F47" s="9">
        <v>0</v>
      </c>
      <c r="G47" s="9">
        <v>0</v>
      </c>
      <c r="H47" s="9">
        <v>13.2</v>
      </c>
      <c r="I47" s="9">
        <v>0</v>
      </c>
      <c r="J47" s="9">
        <v>5.3</v>
      </c>
      <c r="K47" s="9">
        <v>6.4</v>
      </c>
      <c r="L47" s="9">
        <v>4.4000000000000004</v>
      </c>
      <c r="M47" s="9">
        <v>11.97</v>
      </c>
      <c r="N47" s="9">
        <v>15</v>
      </c>
      <c r="O47" s="9">
        <v>15.3</v>
      </c>
      <c r="P47" s="11">
        <v>0</v>
      </c>
      <c r="Q47" s="9">
        <v>0</v>
      </c>
      <c r="R47" s="9">
        <v>0</v>
      </c>
      <c r="S47" s="9">
        <v>18102</v>
      </c>
      <c r="T47" s="9">
        <v>0</v>
      </c>
      <c r="U47" s="9">
        <v>15.5</v>
      </c>
      <c r="V47" s="9">
        <v>0</v>
      </c>
      <c r="W47" s="9">
        <v>0</v>
      </c>
      <c r="X47" s="9">
        <v>87982.23</v>
      </c>
      <c r="Y47" s="9">
        <v>238126.96999999997</v>
      </c>
      <c r="Z47" s="9">
        <v>0</v>
      </c>
      <c r="AA47" s="9">
        <v>0</v>
      </c>
    </row>
    <row r="48" spans="1:27" x14ac:dyDescent="0.25">
      <c r="A48" s="12">
        <v>38230</v>
      </c>
      <c r="B48" s="9">
        <v>0</v>
      </c>
      <c r="C48" s="9">
        <v>0</v>
      </c>
      <c r="D48" s="9">
        <v>0</v>
      </c>
      <c r="E48" s="9">
        <v>101.21</v>
      </c>
      <c r="F48" s="9">
        <v>0</v>
      </c>
      <c r="G48" s="9">
        <v>0</v>
      </c>
      <c r="H48" s="9">
        <v>13.1</v>
      </c>
      <c r="I48" s="9">
        <v>0</v>
      </c>
      <c r="J48" s="9">
        <v>5.3</v>
      </c>
      <c r="K48" s="9">
        <v>6.8</v>
      </c>
      <c r="L48" s="9">
        <v>4.4000000000000004</v>
      </c>
      <c r="M48" s="9">
        <v>12.86</v>
      </c>
      <c r="N48" s="9">
        <v>15.14</v>
      </c>
      <c r="O48" s="9">
        <v>13.63</v>
      </c>
      <c r="P48" s="11">
        <v>0</v>
      </c>
      <c r="Q48" s="9">
        <v>0</v>
      </c>
      <c r="R48" s="9">
        <v>0</v>
      </c>
      <c r="S48" s="9">
        <v>19603</v>
      </c>
      <c r="T48" s="9">
        <v>0</v>
      </c>
      <c r="U48" s="9">
        <v>15.9</v>
      </c>
      <c r="V48" s="9">
        <v>0</v>
      </c>
      <c r="W48" s="9">
        <v>0</v>
      </c>
      <c r="X48" s="9">
        <v>89125.33</v>
      </c>
      <c r="Y48" s="9">
        <v>239729.19</v>
      </c>
      <c r="Z48" s="9">
        <v>0</v>
      </c>
      <c r="AA48" s="9">
        <v>0</v>
      </c>
    </row>
    <row r="49" spans="1:27" x14ac:dyDescent="0.25">
      <c r="A49" s="12">
        <v>38260</v>
      </c>
      <c r="B49" s="9">
        <v>9.8000000000000007</v>
      </c>
      <c r="C49" s="9">
        <v>0</v>
      </c>
      <c r="D49" s="9">
        <v>0</v>
      </c>
      <c r="E49" s="9">
        <v>101.11</v>
      </c>
      <c r="F49" s="9">
        <v>0</v>
      </c>
      <c r="G49" s="9">
        <v>0</v>
      </c>
      <c r="H49" s="9">
        <v>14</v>
      </c>
      <c r="I49" s="9">
        <v>8.0114999999999998</v>
      </c>
      <c r="J49" s="9">
        <v>5.2</v>
      </c>
      <c r="K49" s="9">
        <v>7.9</v>
      </c>
      <c r="L49" s="9">
        <v>4.3</v>
      </c>
      <c r="M49" s="9">
        <v>13.67</v>
      </c>
      <c r="N49" s="9">
        <v>13.7</v>
      </c>
      <c r="O49" s="9">
        <v>13.94</v>
      </c>
      <c r="P49" s="11">
        <v>0</v>
      </c>
      <c r="Q49" s="9">
        <v>0</v>
      </c>
      <c r="R49" s="9">
        <v>0</v>
      </c>
      <c r="S49" s="9">
        <v>22584</v>
      </c>
      <c r="T49" s="9">
        <v>0</v>
      </c>
      <c r="U49" s="9">
        <v>16.100000000000001</v>
      </c>
      <c r="V49" s="9">
        <v>0</v>
      </c>
      <c r="W49" s="9">
        <v>0</v>
      </c>
      <c r="X49" s="9">
        <v>90439.05</v>
      </c>
      <c r="Y49" s="9">
        <v>243756.88</v>
      </c>
      <c r="Z49" s="9">
        <v>0</v>
      </c>
      <c r="AA49" s="9">
        <v>0</v>
      </c>
    </row>
    <row r="50" spans="1:27" x14ac:dyDescent="0.25">
      <c r="A50" s="12">
        <v>38291</v>
      </c>
      <c r="B50" s="9">
        <v>0</v>
      </c>
      <c r="C50" s="9">
        <v>0</v>
      </c>
      <c r="D50" s="9">
        <v>0</v>
      </c>
      <c r="E50" s="9">
        <v>101.10000000000001</v>
      </c>
      <c r="F50" s="9">
        <v>0</v>
      </c>
      <c r="G50" s="9">
        <v>0</v>
      </c>
      <c r="H50" s="9">
        <v>14.2</v>
      </c>
      <c r="I50" s="9">
        <v>0</v>
      </c>
      <c r="J50" s="9">
        <v>4.3</v>
      </c>
      <c r="K50" s="9">
        <v>8.4</v>
      </c>
      <c r="L50" s="9">
        <v>3.4</v>
      </c>
      <c r="M50" s="9">
        <v>14.24</v>
      </c>
      <c r="N50" s="9">
        <v>12.57</v>
      </c>
      <c r="O50" s="9">
        <v>13.45</v>
      </c>
      <c r="P50" s="11">
        <v>0</v>
      </c>
      <c r="Q50" s="9">
        <v>0</v>
      </c>
      <c r="R50" s="9">
        <v>0</v>
      </c>
      <c r="S50" s="9">
        <v>23067</v>
      </c>
      <c r="T50" s="9">
        <v>0</v>
      </c>
      <c r="U50" s="9">
        <v>15.7</v>
      </c>
      <c r="V50" s="9">
        <v>0</v>
      </c>
      <c r="W50" s="9">
        <v>0</v>
      </c>
      <c r="X50" s="9">
        <v>90782.48000000001</v>
      </c>
      <c r="Y50" s="9">
        <v>243740.31999999998</v>
      </c>
      <c r="Z50" s="9">
        <v>0</v>
      </c>
      <c r="AA50" s="9">
        <v>0</v>
      </c>
    </row>
    <row r="51" spans="1:27" x14ac:dyDescent="0.25">
      <c r="A51" s="12">
        <v>38321</v>
      </c>
      <c r="B51" s="9">
        <v>0</v>
      </c>
      <c r="C51" s="9">
        <v>0</v>
      </c>
      <c r="D51" s="9">
        <v>0</v>
      </c>
      <c r="E51" s="9">
        <v>101.16</v>
      </c>
      <c r="F51" s="9">
        <v>0</v>
      </c>
      <c r="G51" s="9">
        <v>0</v>
      </c>
      <c r="H51" s="9">
        <v>13.9</v>
      </c>
      <c r="I51" s="9">
        <v>0</v>
      </c>
      <c r="J51" s="9">
        <v>2.8</v>
      </c>
      <c r="K51" s="9">
        <v>8.1</v>
      </c>
      <c r="L51" s="9">
        <v>1.9</v>
      </c>
      <c r="M51" s="9">
        <v>13.66</v>
      </c>
      <c r="N51" s="9">
        <v>13.8</v>
      </c>
      <c r="O51" s="9">
        <v>14</v>
      </c>
      <c r="P51" s="11">
        <v>0</v>
      </c>
      <c r="Q51" s="9">
        <v>0</v>
      </c>
      <c r="R51" s="9">
        <v>0</v>
      </c>
      <c r="S51" s="9">
        <v>25044</v>
      </c>
      <c r="T51" s="9">
        <v>0</v>
      </c>
      <c r="U51" s="9">
        <v>14.8</v>
      </c>
      <c r="V51" s="9">
        <v>0</v>
      </c>
      <c r="W51" s="9">
        <v>0</v>
      </c>
      <c r="X51" s="9">
        <v>92387.12999999999</v>
      </c>
      <c r="Y51" s="9">
        <v>247135.58</v>
      </c>
      <c r="Z51" s="9">
        <v>0</v>
      </c>
      <c r="AA51" s="9">
        <v>0</v>
      </c>
    </row>
    <row r="52" spans="1:27" x14ac:dyDescent="0.25">
      <c r="A52" s="12">
        <v>38352</v>
      </c>
      <c r="B52" s="9">
        <v>8.8000000000000007</v>
      </c>
      <c r="C52" s="9">
        <v>0</v>
      </c>
      <c r="D52" s="9">
        <v>0</v>
      </c>
      <c r="E52" s="9">
        <v>100.53</v>
      </c>
      <c r="F52" s="9">
        <v>0</v>
      </c>
      <c r="G52" s="9">
        <v>0</v>
      </c>
      <c r="H52" s="9">
        <v>14.5</v>
      </c>
      <c r="I52" s="9">
        <v>8.0266000000000002</v>
      </c>
      <c r="J52" s="9">
        <v>2.4</v>
      </c>
      <c r="K52" s="9">
        <v>7.1</v>
      </c>
      <c r="L52" s="9">
        <v>1.3</v>
      </c>
      <c r="M52" s="9">
        <v>12.03</v>
      </c>
      <c r="N52" s="9">
        <v>13.6</v>
      </c>
      <c r="O52" s="9">
        <v>14.6</v>
      </c>
      <c r="P52" s="11">
        <v>14.9</v>
      </c>
      <c r="Q52" s="9">
        <v>0</v>
      </c>
      <c r="R52" s="9">
        <v>0</v>
      </c>
      <c r="S52" s="9">
        <v>28629</v>
      </c>
      <c r="T52" s="9">
        <v>20.414300000000001</v>
      </c>
      <c r="U52" s="9">
        <v>14.4</v>
      </c>
      <c r="V52" s="9">
        <v>0</v>
      </c>
      <c r="W52" s="9">
        <v>0</v>
      </c>
      <c r="X52" s="9">
        <v>95970.82</v>
      </c>
      <c r="Y52" s="9">
        <v>253207.69999999998</v>
      </c>
      <c r="Z52" s="9">
        <v>0</v>
      </c>
      <c r="AA52" s="9">
        <v>0</v>
      </c>
    </row>
    <row r="53" spans="1:27" x14ac:dyDescent="0.25">
      <c r="A53" s="12">
        <v>38383</v>
      </c>
      <c r="B53" s="9">
        <v>0</v>
      </c>
      <c r="C53" s="9">
        <v>0</v>
      </c>
      <c r="D53" s="9">
        <v>0</v>
      </c>
      <c r="E53" s="9">
        <v>100.03999999999999</v>
      </c>
      <c r="F53" s="9">
        <v>14.1</v>
      </c>
      <c r="G53" s="9">
        <v>0</v>
      </c>
      <c r="H53" s="9">
        <v>11.5</v>
      </c>
      <c r="I53" s="9">
        <v>0</v>
      </c>
      <c r="J53" s="9">
        <v>1.9</v>
      </c>
      <c r="K53" s="9">
        <v>5.8</v>
      </c>
      <c r="L53" s="9">
        <v>0.9</v>
      </c>
      <c r="M53" s="9">
        <v>10.74</v>
      </c>
      <c r="N53" s="9">
        <v>15.32</v>
      </c>
      <c r="O53" s="9">
        <v>14.13</v>
      </c>
      <c r="P53" s="11">
        <v>0</v>
      </c>
      <c r="Q53" s="9">
        <v>0</v>
      </c>
      <c r="R53" s="9">
        <v>0</v>
      </c>
      <c r="S53" s="9">
        <v>3620</v>
      </c>
      <c r="T53" s="9">
        <v>0</v>
      </c>
      <c r="U53" s="9">
        <v>20.9</v>
      </c>
      <c r="V53" s="9">
        <v>0</v>
      </c>
      <c r="W53" s="9">
        <v>0</v>
      </c>
      <c r="X53" s="9">
        <v>97079.03</v>
      </c>
      <c r="Y53" s="9">
        <v>257708.47</v>
      </c>
      <c r="Z53" s="9">
        <v>60.7</v>
      </c>
      <c r="AA53" s="9">
        <v>46.6</v>
      </c>
    </row>
    <row r="54" spans="1:27" x14ac:dyDescent="0.25">
      <c r="A54" s="12">
        <v>38411</v>
      </c>
      <c r="B54" s="9">
        <v>0</v>
      </c>
      <c r="C54" s="9">
        <v>0</v>
      </c>
      <c r="D54" s="9">
        <v>0</v>
      </c>
      <c r="E54" s="9">
        <v>99.69</v>
      </c>
      <c r="F54" s="9">
        <v>14.1</v>
      </c>
      <c r="G54" s="9">
        <v>0</v>
      </c>
      <c r="H54" s="9">
        <v>15.8</v>
      </c>
      <c r="I54" s="9">
        <v>0</v>
      </c>
      <c r="J54" s="9">
        <v>3.9</v>
      </c>
      <c r="K54" s="9">
        <v>5.38</v>
      </c>
      <c r="L54" s="9">
        <v>2.4</v>
      </c>
      <c r="M54" s="9">
        <v>9.76</v>
      </c>
      <c r="N54" s="9">
        <v>10.6</v>
      </c>
      <c r="O54" s="9">
        <v>13.9</v>
      </c>
      <c r="P54" s="11">
        <v>0</v>
      </c>
      <c r="Q54" s="9">
        <v>0</v>
      </c>
      <c r="R54" s="9">
        <v>0</v>
      </c>
      <c r="S54" s="9">
        <v>4444</v>
      </c>
      <c r="T54" s="9">
        <v>0</v>
      </c>
      <c r="U54" s="9">
        <v>7.6</v>
      </c>
      <c r="V54" s="9">
        <v>0</v>
      </c>
      <c r="W54" s="9">
        <v>0</v>
      </c>
      <c r="X54" s="9">
        <v>92814.95</v>
      </c>
      <c r="Y54" s="9">
        <v>259357.28999999998</v>
      </c>
      <c r="Z54" s="9">
        <v>61.5</v>
      </c>
      <c r="AA54" s="9">
        <v>47.4</v>
      </c>
    </row>
    <row r="55" spans="1:27" x14ac:dyDescent="0.25">
      <c r="A55" s="12">
        <v>38442</v>
      </c>
      <c r="B55" s="9">
        <v>11.2</v>
      </c>
      <c r="C55" s="9">
        <v>0</v>
      </c>
      <c r="D55" s="9">
        <v>0</v>
      </c>
      <c r="E55" s="9">
        <v>99.92</v>
      </c>
      <c r="F55" s="9">
        <v>16.600000000000001</v>
      </c>
      <c r="G55" s="9">
        <v>0</v>
      </c>
      <c r="H55" s="9">
        <v>13.9</v>
      </c>
      <c r="I55" s="9">
        <v>5.4046000000000003</v>
      </c>
      <c r="J55" s="9">
        <v>2.7</v>
      </c>
      <c r="K55" s="9">
        <v>5.6</v>
      </c>
      <c r="L55" s="9">
        <v>1.4</v>
      </c>
      <c r="M55" s="9">
        <v>9.6999999999999993</v>
      </c>
      <c r="N55" s="9">
        <v>9.9</v>
      </c>
      <c r="O55" s="9">
        <v>14</v>
      </c>
      <c r="P55" s="11">
        <v>0</v>
      </c>
      <c r="Q55" s="9">
        <v>0</v>
      </c>
      <c r="R55" s="9">
        <v>0</v>
      </c>
      <c r="S55" s="9">
        <v>8633</v>
      </c>
      <c r="T55" s="9">
        <v>0</v>
      </c>
      <c r="U55" s="9">
        <v>15.1</v>
      </c>
      <c r="V55" s="9">
        <v>0</v>
      </c>
      <c r="W55" s="9">
        <v>0</v>
      </c>
      <c r="X55" s="9">
        <v>94743.19</v>
      </c>
      <c r="Y55" s="9">
        <v>264588.94</v>
      </c>
      <c r="Z55" s="9">
        <v>63.5</v>
      </c>
      <c r="AA55" s="9">
        <v>46.9</v>
      </c>
    </row>
    <row r="56" spans="1:27" x14ac:dyDescent="0.25">
      <c r="A56" s="12">
        <v>38472</v>
      </c>
      <c r="B56" s="9">
        <v>0</v>
      </c>
      <c r="C56" s="9">
        <v>0</v>
      </c>
      <c r="D56" s="9">
        <v>0</v>
      </c>
      <c r="E56" s="9">
        <v>100.15</v>
      </c>
      <c r="F56" s="9">
        <v>14.8</v>
      </c>
      <c r="G56" s="9">
        <v>0</v>
      </c>
      <c r="H56" s="9">
        <v>12.2</v>
      </c>
      <c r="I56" s="9">
        <v>0</v>
      </c>
      <c r="J56" s="9">
        <v>1.8</v>
      </c>
      <c r="K56" s="9">
        <v>5.78</v>
      </c>
      <c r="L56" s="9">
        <v>0.6</v>
      </c>
      <c r="M56" s="9">
        <v>9.85</v>
      </c>
      <c r="N56" s="9">
        <v>10</v>
      </c>
      <c r="O56" s="9">
        <v>14.1</v>
      </c>
      <c r="P56" s="11">
        <v>0</v>
      </c>
      <c r="Q56" s="9">
        <v>0</v>
      </c>
      <c r="R56" s="9">
        <v>0</v>
      </c>
      <c r="S56" s="9">
        <v>10632</v>
      </c>
      <c r="T56" s="9">
        <v>0</v>
      </c>
      <c r="U56" s="9">
        <v>16</v>
      </c>
      <c r="V56" s="9">
        <v>0</v>
      </c>
      <c r="W56" s="9">
        <v>0</v>
      </c>
      <c r="X56" s="9">
        <v>94593.72</v>
      </c>
      <c r="Y56" s="9">
        <v>266992.65999999997</v>
      </c>
      <c r="Z56" s="9">
        <v>61.3</v>
      </c>
      <c r="AA56" s="9">
        <v>46.5</v>
      </c>
    </row>
    <row r="57" spans="1:27" x14ac:dyDescent="0.25">
      <c r="A57" s="12">
        <v>38503</v>
      </c>
      <c r="B57" s="9">
        <v>0</v>
      </c>
      <c r="C57" s="9">
        <v>0</v>
      </c>
      <c r="D57" s="9">
        <v>0</v>
      </c>
      <c r="E57" s="9">
        <v>100.49</v>
      </c>
      <c r="F57" s="9">
        <v>9.8000000000000007</v>
      </c>
      <c r="G57" s="9">
        <v>0</v>
      </c>
      <c r="H57" s="9">
        <v>12.8</v>
      </c>
      <c r="I57" s="9">
        <v>0</v>
      </c>
      <c r="J57" s="9">
        <v>1.8</v>
      </c>
      <c r="K57" s="9">
        <v>5.9</v>
      </c>
      <c r="L57" s="9">
        <v>0.6</v>
      </c>
      <c r="M57" s="9">
        <v>9.99</v>
      </c>
      <c r="N57" s="9">
        <v>10.4</v>
      </c>
      <c r="O57" s="9">
        <v>14.6</v>
      </c>
      <c r="P57" s="11">
        <v>0</v>
      </c>
      <c r="Q57" s="9">
        <v>0</v>
      </c>
      <c r="R57" s="9">
        <v>0</v>
      </c>
      <c r="S57" s="9">
        <v>12600</v>
      </c>
      <c r="T57" s="9">
        <v>0</v>
      </c>
      <c r="U57" s="9">
        <v>16.600000000000001</v>
      </c>
      <c r="V57" s="9">
        <v>0</v>
      </c>
      <c r="W57" s="9">
        <v>0</v>
      </c>
      <c r="X57" s="9">
        <v>95802.01</v>
      </c>
      <c r="Y57" s="9">
        <v>269240.49</v>
      </c>
      <c r="Z57" s="9">
        <v>55.6</v>
      </c>
      <c r="AA57" s="9">
        <v>45.8</v>
      </c>
    </row>
    <row r="58" spans="1:27" x14ac:dyDescent="0.25">
      <c r="A58" s="12">
        <v>38533</v>
      </c>
      <c r="B58" s="9">
        <v>11.1</v>
      </c>
      <c r="C58" s="9">
        <v>0</v>
      </c>
      <c r="D58" s="9">
        <v>0</v>
      </c>
      <c r="E58" s="9">
        <v>100.63000000000001</v>
      </c>
      <c r="F58" s="9">
        <v>5.3</v>
      </c>
      <c r="G58" s="9">
        <v>0</v>
      </c>
      <c r="H58" s="9">
        <v>12.9</v>
      </c>
      <c r="I58" s="9">
        <v>4.1783000000000001</v>
      </c>
      <c r="J58" s="9">
        <v>1.6</v>
      </c>
      <c r="K58" s="9">
        <v>5.2</v>
      </c>
      <c r="L58" s="9">
        <v>0.5</v>
      </c>
      <c r="M58" s="9">
        <v>9</v>
      </c>
      <c r="N58" s="9">
        <v>11.25</v>
      </c>
      <c r="O58" s="9">
        <v>15.67</v>
      </c>
      <c r="P58" s="11">
        <v>0</v>
      </c>
      <c r="Q58" s="9">
        <v>0</v>
      </c>
      <c r="R58" s="9">
        <v>0</v>
      </c>
      <c r="S58" s="9">
        <v>17323</v>
      </c>
      <c r="T58" s="9">
        <v>0</v>
      </c>
      <c r="U58" s="9">
        <v>16.8</v>
      </c>
      <c r="V58" s="9">
        <v>0</v>
      </c>
      <c r="W58" s="9">
        <v>0</v>
      </c>
      <c r="X58" s="9">
        <v>98601.250000000015</v>
      </c>
      <c r="Y58" s="9">
        <v>275785.52999999997</v>
      </c>
      <c r="Z58" s="9">
        <v>53.4</v>
      </c>
      <c r="AA58" s="9">
        <v>48.1</v>
      </c>
    </row>
    <row r="59" spans="1:27" x14ac:dyDescent="0.25">
      <c r="A59" s="12">
        <v>38564</v>
      </c>
      <c r="B59" s="9">
        <v>0</v>
      </c>
      <c r="C59" s="9">
        <v>0</v>
      </c>
      <c r="D59" s="9">
        <v>0</v>
      </c>
      <c r="E59" s="9">
        <v>100.85000000000001</v>
      </c>
      <c r="F59" s="9">
        <v>6.6</v>
      </c>
      <c r="G59" s="9">
        <v>0</v>
      </c>
      <c r="H59" s="9">
        <v>12.7</v>
      </c>
      <c r="I59" s="9">
        <v>0</v>
      </c>
      <c r="J59" s="9">
        <v>1.8</v>
      </c>
      <c r="K59" s="9">
        <v>5.2</v>
      </c>
      <c r="L59" s="9">
        <v>0.8</v>
      </c>
      <c r="M59" s="9">
        <v>8.4600000000000009</v>
      </c>
      <c r="N59" s="9">
        <v>11</v>
      </c>
      <c r="O59" s="9">
        <v>16.3</v>
      </c>
      <c r="P59" s="11">
        <v>0</v>
      </c>
      <c r="Q59" s="9">
        <v>0</v>
      </c>
      <c r="R59" s="9">
        <v>0</v>
      </c>
      <c r="S59" s="9">
        <v>17952</v>
      </c>
      <c r="T59" s="9">
        <v>0</v>
      </c>
      <c r="U59" s="9">
        <v>16.100000000000001</v>
      </c>
      <c r="V59" s="9">
        <v>0</v>
      </c>
      <c r="W59" s="9">
        <v>0</v>
      </c>
      <c r="X59" s="9">
        <v>97674.1</v>
      </c>
      <c r="Y59" s="9">
        <v>276966.28000000003</v>
      </c>
      <c r="Z59" s="9">
        <v>53.2</v>
      </c>
      <c r="AA59" s="9">
        <v>46.6</v>
      </c>
    </row>
    <row r="60" spans="1:27" x14ac:dyDescent="0.25">
      <c r="A60" s="12">
        <v>38595</v>
      </c>
      <c r="B60" s="9">
        <v>0</v>
      </c>
      <c r="C60" s="9">
        <v>0</v>
      </c>
      <c r="D60" s="9">
        <v>0</v>
      </c>
      <c r="E60" s="9">
        <v>100.86</v>
      </c>
      <c r="F60" s="9">
        <v>10.8</v>
      </c>
      <c r="G60" s="9">
        <v>0</v>
      </c>
      <c r="H60" s="9">
        <v>12.5</v>
      </c>
      <c r="I60" s="9">
        <v>0</v>
      </c>
      <c r="J60" s="9">
        <v>1.3</v>
      </c>
      <c r="K60" s="9">
        <v>5.3</v>
      </c>
      <c r="L60" s="9">
        <v>0.3</v>
      </c>
      <c r="M60" s="9">
        <v>8.08</v>
      </c>
      <c r="N60" s="9">
        <v>11.5</v>
      </c>
      <c r="O60" s="9">
        <v>17.34</v>
      </c>
      <c r="P60" s="11">
        <v>0</v>
      </c>
      <c r="Q60" s="9">
        <v>0</v>
      </c>
      <c r="R60" s="9">
        <v>0</v>
      </c>
      <c r="S60" s="9">
        <v>20049</v>
      </c>
      <c r="T60" s="9">
        <v>0</v>
      </c>
      <c r="U60" s="9">
        <v>16</v>
      </c>
      <c r="V60" s="9">
        <v>0</v>
      </c>
      <c r="W60" s="9">
        <v>0</v>
      </c>
      <c r="X60" s="9">
        <v>99377.7</v>
      </c>
      <c r="Y60" s="9">
        <v>281288.21999999997</v>
      </c>
      <c r="Z60" s="9">
        <v>55</v>
      </c>
      <c r="AA60" s="9">
        <v>44.2</v>
      </c>
    </row>
    <row r="61" spans="1:27" x14ac:dyDescent="0.25">
      <c r="A61" s="12">
        <v>38625</v>
      </c>
      <c r="B61" s="9">
        <v>10.9</v>
      </c>
      <c r="C61" s="9">
        <v>0</v>
      </c>
      <c r="D61" s="9">
        <v>0</v>
      </c>
      <c r="E61" s="9">
        <v>100.99999999999999</v>
      </c>
      <c r="F61" s="9">
        <v>12.6</v>
      </c>
      <c r="G61" s="9">
        <v>0</v>
      </c>
      <c r="H61" s="9">
        <v>12.7</v>
      </c>
      <c r="I61" s="9">
        <v>3.6063999999999998</v>
      </c>
      <c r="J61" s="9">
        <v>0.9</v>
      </c>
      <c r="K61" s="9">
        <v>4.5</v>
      </c>
      <c r="L61" s="9">
        <v>0</v>
      </c>
      <c r="M61" s="9">
        <v>7.1</v>
      </c>
      <c r="N61" s="9">
        <v>11.64</v>
      </c>
      <c r="O61" s="9">
        <v>17.920000000000002</v>
      </c>
      <c r="P61" s="11">
        <v>0</v>
      </c>
      <c r="Q61" s="9">
        <v>0</v>
      </c>
      <c r="R61" s="9">
        <v>0</v>
      </c>
      <c r="S61" s="9">
        <v>26090</v>
      </c>
      <c r="T61" s="9">
        <v>0</v>
      </c>
      <c r="U61" s="9">
        <v>16.5</v>
      </c>
      <c r="V61" s="9">
        <v>0</v>
      </c>
      <c r="W61" s="9">
        <v>0</v>
      </c>
      <c r="X61" s="9">
        <v>100964.00000000001</v>
      </c>
      <c r="Y61" s="9">
        <v>287438.26999999996</v>
      </c>
      <c r="Z61" s="9">
        <v>58.4</v>
      </c>
      <c r="AA61" s="9">
        <v>45.8</v>
      </c>
    </row>
    <row r="62" spans="1:27" x14ac:dyDescent="0.25">
      <c r="A62" s="12">
        <v>38656</v>
      </c>
      <c r="B62" s="9">
        <v>0</v>
      </c>
      <c r="C62" s="9">
        <v>0</v>
      </c>
      <c r="D62" s="9">
        <v>0</v>
      </c>
      <c r="E62" s="9">
        <v>100.92000000000002</v>
      </c>
      <c r="F62" s="9">
        <v>11.9</v>
      </c>
      <c r="G62" s="9">
        <v>0</v>
      </c>
      <c r="H62" s="9">
        <v>12.8</v>
      </c>
      <c r="I62" s="9">
        <v>0</v>
      </c>
      <c r="J62" s="9">
        <v>1.2</v>
      </c>
      <c r="K62" s="9">
        <v>4</v>
      </c>
      <c r="L62" s="9">
        <v>0.4</v>
      </c>
      <c r="M62" s="9">
        <v>6.5</v>
      </c>
      <c r="N62" s="9">
        <v>12.08</v>
      </c>
      <c r="O62" s="9">
        <v>17.989999999999998</v>
      </c>
      <c r="P62" s="11">
        <v>0</v>
      </c>
      <c r="Q62" s="9">
        <v>0</v>
      </c>
      <c r="R62" s="9">
        <v>0</v>
      </c>
      <c r="S62" s="9">
        <v>25116</v>
      </c>
      <c r="T62" s="9">
        <v>0</v>
      </c>
      <c r="U62" s="9">
        <v>16.100000000000001</v>
      </c>
      <c r="V62" s="9">
        <v>0</v>
      </c>
      <c r="W62" s="9">
        <v>0</v>
      </c>
      <c r="X62" s="9">
        <v>101751.98</v>
      </c>
      <c r="Y62" s="9">
        <v>287591.61</v>
      </c>
      <c r="Z62" s="9">
        <v>58.1</v>
      </c>
      <c r="AA62" s="9">
        <v>46.2</v>
      </c>
    </row>
    <row r="63" spans="1:27" x14ac:dyDescent="0.25">
      <c r="A63" s="12">
        <v>38686</v>
      </c>
      <c r="B63" s="9">
        <v>0</v>
      </c>
      <c r="C63" s="9">
        <v>0</v>
      </c>
      <c r="D63" s="9">
        <v>0</v>
      </c>
      <c r="E63" s="9">
        <v>100.83999999999999</v>
      </c>
      <c r="F63" s="9">
        <v>13.2</v>
      </c>
      <c r="G63" s="9">
        <v>0</v>
      </c>
      <c r="H63" s="9">
        <v>12.4</v>
      </c>
      <c r="I63" s="9">
        <v>0</v>
      </c>
      <c r="J63" s="9">
        <v>1.3</v>
      </c>
      <c r="K63" s="9">
        <v>3.2</v>
      </c>
      <c r="L63" s="9">
        <v>0.6</v>
      </c>
      <c r="M63" s="9">
        <v>5.4</v>
      </c>
      <c r="N63" s="9">
        <v>12.7</v>
      </c>
      <c r="O63" s="9">
        <v>18.3</v>
      </c>
      <c r="P63" s="11">
        <v>0</v>
      </c>
      <c r="Q63" s="9">
        <v>0</v>
      </c>
      <c r="R63" s="9">
        <v>0</v>
      </c>
      <c r="S63" s="9">
        <v>27484</v>
      </c>
      <c r="T63" s="9">
        <v>0</v>
      </c>
      <c r="U63" s="9">
        <v>16.600000000000001</v>
      </c>
      <c r="V63" s="9">
        <v>0</v>
      </c>
      <c r="W63" s="9">
        <v>0</v>
      </c>
      <c r="X63" s="9">
        <v>104125.78</v>
      </c>
      <c r="Y63" s="9">
        <v>292350.39</v>
      </c>
      <c r="Z63" s="9">
        <v>58</v>
      </c>
      <c r="AA63" s="9">
        <v>44.8</v>
      </c>
    </row>
    <row r="64" spans="1:27" x14ac:dyDescent="0.25">
      <c r="A64" s="12">
        <v>38717</v>
      </c>
      <c r="B64" s="9">
        <v>12.4</v>
      </c>
      <c r="C64" s="9">
        <v>0</v>
      </c>
      <c r="D64" s="9">
        <v>0</v>
      </c>
      <c r="E64" s="9">
        <v>101.04</v>
      </c>
      <c r="F64" s="9">
        <v>14.2</v>
      </c>
      <c r="G64" s="9">
        <v>0</v>
      </c>
      <c r="H64" s="9">
        <v>12.5</v>
      </c>
      <c r="I64" s="9">
        <v>2.8348</v>
      </c>
      <c r="J64" s="9">
        <v>1.6</v>
      </c>
      <c r="K64" s="9">
        <v>3.2</v>
      </c>
      <c r="L64" s="9">
        <v>0.9</v>
      </c>
      <c r="M64" s="9">
        <v>5</v>
      </c>
      <c r="N64" s="9">
        <v>11.78</v>
      </c>
      <c r="O64" s="9">
        <v>17.57</v>
      </c>
      <c r="P64" s="11">
        <v>13.5</v>
      </c>
      <c r="Q64" s="9">
        <v>0</v>
      </c>
      <c r="R64" s="9">
        <v>9.9399441682601157</v>
      </c>
      <c r="S64" s="9">
        <v>30008</v>
      </c>
      <c r="T64" s="9">
        <v>22.426500000000001</v>
      </c>
      <c r="U64" s="9">
        <v>16.5</v>
      </c>
      <c r="V64" s="9">
        <v>0</v>
      </c>
      <c r="W64" s="9">
        <v>0</v>
      </c>
      <c r="X64" s="9">
        <v>107278.76000000001</v>
      </c>
      <c r="Y64" s="9">
        <v>298755.48</v>
      </c>
      <c r="Z64" s="9">
        <v>58.9</v>
      </c>
      <c r="AA64" s="9">
        <v>44.7</v>
      </c>
    </row>
    <row r="65" spans="1:27" x14ac:dyDescent="0.25">
      <c r="A65" s="12">
        <v>38748</v>
      </c>
      <c r="B65" s="9">
        <v>0</v>
      </c>
      <c r="C65" s="9">
        <v>0</v>
      </c>
      <c r="D65" s="9">
        <v>0</v>
      </c>
      <c r="E65" s="9">
        <v>100.83</v>
      </c>
      <c r="F65" s="9">
        <v>11.1</v>
      </c>
      <c r="G65" s="9">
        <v>0</v>
      </c>
      <c r="H65" s="9">
        <v>15.5</v>
      </c>
      <c r="I65" s="9">
        <v>0</v>
      </c>
      <c r="J65" s="9">
        <v>1.9</v>
      </c>
      <c r="K65" s="9">
        <v>3.05</v>
      </c>
      <c r="L65" s="9">
        <v>1</v>
      </c>
      <c r="M65" s="9">
        <v>6.4</v>
      </c>
      <c r="N65" s="9">
        <v>10.63</v>
      </c>
      <c r="O65" s="9">
        <v>19.21</v>
      </c>
      <c r="P65" s="11">
        <v>0</v>
      </c>
      <c r="Q65" s="9">
        <v>0</v>
      </c>
      <c r="R65" s="9">
        <v>0</v>
      </c>
      <c r="S65" s="9">
        <v>6323</v>
      </c>
      <c r="T65" s="9">
        <v>0</v>
      </c>
      <c r="U65" s="9">
        <v>12.6</v>
      </c>
      <c r="V65" s="9">
        <v>0</v>
      </c>
      <c r="W65" s="9">
        <v>0</v>
      </c>
      <c r="X65" s="9">
        <v>107250.68</v>
      </c>
      <c r="Y65" s="9">
        <v>303571.64999999997</v>
      </c>
      <c r="Z65" s="9">
        <v>55.7</v>
      </c>
      <c r="AA65" s="9">
        <v>44.6</v>
      </c>
    </row>
    <row r="66" spans="1:27" x14ac:dyDescent="0.25">
      <c r="A66" s="12">
        <v>38776</v>
      </c>
      <c r="B66" s="9">
        <v>0</v>
      </c>
      <c r="C66" s="9">
        <v>0</v>
      </c>
      <c r="D66" s="9">
        <v>0</v>
      </c>
      <c r="E66" s="9">
        <v>100.94000000000001</v>
      </c>
      <c r="F66" s="9">
        <v>9.8000000000000007</v>
      </c>
      <c r="G66" s="9">
        <v>0</v>
      </c>
      <c r="H66" s="9">
        <v>9.4</v>
      </c>
      <c r="I66" s="9">
        <v>0</v>
      </c>
      <c r="J66" s="9">
        <v>0.9</v>
      </c>
      <c r="K66" s="9">
        <v>3.01</v>
      </c>
      <c r="L66" s="9">
        <v>0.4</v>
      </c>
      <c r="M66" s="9">
        <v>6.8</v>
      </c>
      <c r="N66" s="9">
        <v>12.4</v>
      </c>
      <c r="O66" s="9">
        <v>18.8</v>
      </c>
      <c r="P66" s="11">
        <v>0</v>
      </c>
      <c r="Q66" s="9">
        <v>0</v>
      </c>
      <c r="R66" s="9">
        <v>0</v>
      </c>
      <c r="S66" s="9">
        <v>8060</v>
      </c>
      <c r="T66" s="9">
        <v>0</v>
      </c>
      <c r="U66" s="9">
        <v>20.100000000000001</v>
      </c>
      <c r="V66" s="9">
        <v>0</v>
      </c>
      <c r="W66" s="9">
        <v>0</v>
      </c>
      <c r="X66" s="9">
        <v>104357.08</v>
      </c>
      <c r="Y66" s="9">
        <v>304516.27</v>
      </c>
      <c r="Z66" s="9">
        <v>55.7</v>
      </c>
      <c r="AA66" s="9">
        <v>45.9</v>
      </c>
    </row>
    <row r="67" spans="1:27" x14ac:dyDescent="0.25">
      <c r="A67" s="12">
        <v>38807</v>
      </c>
      <c r="B67" s="9">
        <v>12.4</v>
      </c>
      <c r="C67" s="9">
        <v>0</v>
      </c>
      <c r="D67" s="9">
        <v>0</v>
      </c>
      <c r="E67" s="9">
        <v>100.82</v>
      </c>
      <c r="F67" s="9">
        <v>13.9</v>
      </c>
      <c r="G67" s="9">
        <v>0</v>
      </c>
      <c r="H67" s="9">
        <v>13.5</v>
      </c>
      <c r="I67" s="9">
        <v>3.4474999999999998</v>
      </c>
      <c r="J67" s="9">
        <v>0.8</v>
      </c>
      <c r="K67" s="9">
        <v>2.4900000000000002</v>
      </c>
      <c r="L67" s="9">
        <v>0.2</v>
      </c>
      <c r="M67" s="9">
        <v>6.18</v>
      </c>
      <c r="N67" s="9">
        <v>12.7</v>
      </c>
      <c r="O67" s="9">
        <v>18.8</v>
      </c>
      <c r="P67" s="11">
        <v>0</v>
      </c>
      <c r="Q67" s="9">
        <v>19.820143895856098</v>
      </c>
      <c r="R67" s="9">
        <v>11.58347557982561</v>
      </c>
      <c r="S67" s="9">
        <v>15532</v>
      </c>
      <c r="T67" s="9">
        <v>0</v>
      </c>
      <c r="U67" s="9">
        <v>17.8</v>
      </c>
      <c r="V67" s="9">
        <v>0</v>
      </c>
      <c r="W67" s="9">
        <v>0</v>
      </c>
      <c r="X67" s="9">
        <v>106737.08</v>
      </c>
      <c r="Y67" s="9">
        <v>310490.65000000002</v>
      </c>
      <c r="Z67" s="9">
        <v>60.7</v>
      </c>
      <c r="AA67" s="9">
        <v>46.8</v>
      </c>
    </row>
    <row r="68" spans="1:27" x14ac:dyDescent="0.25">
      <c r="A68" s="12">
        <v>38837</v>
      </c>
      <c r="B68" s="9">
        <v>0</v>
      </c>
      <c r="C68" s="9">
        <v>0</v>
      </c>
      <c r="D68" s="9">
        <v>0</v>
      </c>
      <c r="E68" s="9">
        <v>101.36</v>
      </c>
      <c r="F68" s="9">
        <v>20.3</v>
      </c>
      <c r="G68" s="9">
        <v>0</v>
      </c>
      <c r="H68" s="9">
        <v>13.6</v>
      </c>
      <c r="I68" s="9">
        <v>0</v>
      </c>
      <c r="J68" s="9">
        <v>1.2</v>
      </c>
      <c r="K68" s="9">
        <v>1.87</v>
      </c>
      <c r="L68" s="9">
        <v>0.6</v>
      </c>
      <c r="M68" s="9">
        <v>4.9000000000000004</v>
      </c>
      <c r="N68" s="9">
        <v>12.5</v>
      </c>
      <c r="O68" s="9">
        <v>18.899999999999999</v>
      </c>
      <c r="P68" s="11">
        <v>0</v>
      </c>
      <c r="Q68" s="9">
        <v>0</v>
      </c>
      <c r="R68" s="9">
        <v>0</v>
      </c>
      <c r="S68" s="9">
        <v>18857</v>
      </c>
      <c r="T68" s="9">
        <v>0</v>
      </c>
      <c r="U68" s="9">
        <v>16.600000000000001</v>
      </c>
      <c r="V68" s="9">
        <v>0</v>
      </c>
      <c r="W68" s="9">
        <v>0</v>
      </c>
      <c r="X68" s="9">
        <v>106389.11000000002</v>
      </c>
      <c r="Y68" s="9">
        <v>313702.33999999997</v>
      </c>
      <c r="Z68" s="9">
        <v>65.099999999999994</v>
      </c>
      <c r="AA68" s="9">
        <v>44.8</v>
      </c>
    </row>
    <row r="69" spans="1:27" x14ac:dyDescent="0.25">
      <c r="A69" s="12">
        <v>38868</v>
      </c>
      <c r="B69" s="9">
        <v>0</v>
      </c>
      <c r="C69" s="9">
        <v>0</v>
      </c>
      <c r="D69" s="9">
        <v>0</v>
      </c>
      <c r="E69" s="9">
        <v>101.57000000000001</v>
      </c>
      <c r="F69" s="9">
        <v>18.100000000000001</v>
      </c>
      <c r="G69" s="9">
        <v>0</v>
      </c>
      <c r="H69" s="9">
        <v>14.2</v>
      </c>
      <c r="I69" s="9">
        <v>0</v>
      </c>
      <c r="J69" s="9">
        <v>1.4</v>
      </c>
      <c r="K69" s="9">
        <v>2.4300000000000002</v>
      </c>
      <c r="L69" s="9">
        <v>1</v>
      </c>
      <c r="M69" s="9">
        <v>5.5</v>
      </c>
      <c r="N69" s="9">
        <v>14.01</v>
      </c>
      <c r="O69" s="9">
        <v>19.100000000000001</v>
      </c>
      <c r="P69" s="11">
        <v>0</v>
      </c>
      <c r="Q69" s="9">
        <v>0</v>
      </c>
      <c r="R69" s="9">
        <v>0</v>
      </c>
      <c r="S69" s="9">
        <v>22642</v>
      </c>
      <c r="T69" s="9">
        <v>0</v>
      </c>
      <c r="U69" s="9">
        <v>17.899999999999999</v>
      </c>
      <c r="V69" s="9">
        <v>0</v>
      </c>
      <c r="W69" s="9">
        <v>0</v>
      </c>
      <c r="X69" s="9">
        <v>109219.22</v>
      </c>
      <c r="Y69" s="9">
        <v>316709.81</v>
      </c>
      <c r="Z69" s="9">
        <v>61</v>
      </c>
      <c r="AA69" s="9">
        <v>42.9</v>
      </c>
    </row>
    <row r="70" spans="1:27" x14ac:dyDescent="0.25">
      <c r="A70" s="12">
        <v>38898</v>
      </c>
      <c r="B70" s="9">
        <v>13.6</v>
      </c>
      <c r="C70" s="9">
        <v>0</v>
      </c>
      <c r="D70" s="9">
        <v>0</v>
      </c>
      <c r="E70" s="9">
        <v>101.63999999999999</v>
      </c>
      <c r="F70" s="9">
        <v>10.5</v>
      </c>
      <c r="G70" s="9">
        <v>0</v>
      </c>
      <c r="H70" s="9">
        <v>13.9</v>
      </c>
      <c r="I70" s="9">
        <v>3.4234</v>
      </c>
      <c r="J70" s="9">
        <v>1.5</v>
      </c>
      <c r="K70" s="9">
        <v>3.52</v>
      </c>
      <c r="L70" s="9">
        <v>1.3</v>
      </c>
      <c r="M70" s="9">
        <v>6.6</v>
      </c>
      <c r="N70" s="9">
        <v>13.9</v>
      </c>
      <c r="O70" s="9">
        <v>18.43</v>
      </c>
      <c r="P70" s="11">
        <v>0</v>
      </c>
      <c r="Q70" s="9">
        <v>19.101320376575309</v>
      </c>
      <c r="R70" s="9">
        <v>15.770630971166449</v>
      </c>
      <c r="S70" s="9">
        <v>26485</v>
      </c>
      <c r="T70" s="9">
        <v>0</v>
      </c>
      <c r="U70" s="9">
        <v>19.5</v>
      </c>
      <c r="V70" s="9">
        <v>0</v>
      </c>
      <c r="W70" s="9">
        <v>0</v>
      </c>
      <c r="X70" s="9">
        <v>112342.35999999999</v>
      </c>
      <c r="Y70" s="9">
        <v>322756.34999999998</v>
      </c>
      <c r="Z70" s="9">
        <v>57.3</v>
      </c>
      <c r="AA70" s="9">
        <v>46.8</v>
      </c>
    </row>
    <row r="71" spans="1:27" x14ac:dyDescent="0.25">
      <c r="A71" s="12">
        <v>38929</v>
      </c>
      <c r="B71" s="9">
        <v>0</v>
      </c>
      <c r="C71" s="9">
        <v>0</v>
      </c>
      <c r="D71" s="9">
        <v>0</v>
      </c>
      <c r="E71" s="9">
        <v>101.38999999999999</v>
      </c>
      <c r="F71" s="9">
        <v>6.4</v>
      </c>
      <c r="G71" s="9">
        <v>0</v>
      </c>
      <c r="H71" s="9">
        <v>13.7</v>
      </c>
      <c r="I71" s="9">
        <v>0</v>
      </c>
      <c r="J71" s="9">
        <v>1</v>
      </c>
      <c r="K71" s="9">
        <v>3.58</v>
      </c>
      <c r="L71" s="9">
        <v>0.7</v>
      </c>
      <c r="M71" s="9">
        <v>6.65</v>
      </c>
      <c r="N71" s="9">
        <v>15.3</v>
      </c>
      <c r="O71" s="9">
        <v>18.399999999999999</v>
      </c>
      <c r="P71" s="11">
        <v>0</v>
      </c>
      <c r="Q71" s="9">
        <v>0</v>
      </c>
      <c r="R71" s="9">
        <v>0</v>
      </c>
      <c r="S71" s="9">
        <v>28739</v>
      </c>
      <c r="T71" s="9">
        <v>0</v>
      </c>
      <c r="U71" s="9">
        <v>16.7</v>
      </c>
      <c r="V71" s="9">
        <v>0</v>
      </c>
      <c r="W71" s="9">
        <v>0</v>
      </c>
      <c r="X71" s="9">
        <v>112653.04</v>
      </c>
      <c r="Y71" s="9">
        <v>324010.76</v>
      </c>
      <c r="Z71" s="9">
        <v>54.4</v>
      </c>
      <c r="AA71" s="9">
        <v>48</v>
      </c>
    </row>
    <row r="72" spans="1:27" x14ac:dyDescent="0.25">
      <c r="A72" s="12">
        <v>38960</v>
      </c>
      <c r="B72" s="9">
        <v>0</v>
      </c>
      <c r="C72" s="9">
        <v>0</v>
      </c>
      <c r="D72" s="9">
        <v>0</v>
      </c>
      <c r="E72" s="9">
        <v>101.16</v>
      </c>
      <c r="F72" s="9">
        <v>12.8</v>
      </c>
      <c r="G72" s="9">
        <v>0</v>
      </c>
      <c r="H72" s="9">
        <v>13.8</v>
      </c>
      <c r="I72" s="9">
        <v>0</v>
      </c>
      <c r="J72" s="9">
        <v>1.3</v>
      </c>
      <c r="K72" s="9">
        <v>3.4</v>
      </c>
      <c r="L72" s="9">
        <v>0.9</v>
      </c>
      <c r="M72" s="9">
        <v>6.7</v>
      </c>
      <c r="N72" s="9">
        <v>15.6</v>
      </c>
      <c r="O72" s="9">
        <v>17.899999999999999</v>
      </c>
      <c r="P72" s="11">
        <v>0</v>
      </c>
      <c r="Q72" s="9">
        <v>0</v>
      </c>
      <c r="R72" s="9">
        <v>0</v>
      </c>
      <c r="S72" s="9">
        <v>32101</v>
      </c>
      <c r="T72" s="9">
        <v>0</v>
      </c>
      <c r="U72" s="9">
        <v>15.7</v>
      </c>
      <c r="V72" s="9">
        <v>0</v>
      </c>
      <c r="W72" s="9">
        <v>0</v>
      </c>
      <c r="X72" s="9">
        <v>114845.67</v>
      </c>
      <c r="Y72" s="9">
        <v>327885.67</v>
      </c>
      <c r="Z72" s="9">
        <v>57.3</v>
      </c>
      <c r="AA72" s="9">
        <v>44.5</v>
      </c>
    </row>
    <row r="73" spans="1:27" x14ac:dyDescent="0.25">
      <c r="A73" s="12">
        <v>38990</v>
      </c>
      <c r="B73" s="9">
        <v>12.2</v>
      </c>
      <c r="C73" s="9">
        <v>0</v>
      </c>
      <c r="D73" s="9">
        <v>0</v>
      </c>
      <c r="E73" s="9">
        <v>100.93</v>
      </c>
      <c r="F73" s="9">
        <v>18</v>
      </c>
      <c r="G73" s="9">
        <v>0</v>
      </c>
      <c r="H73" s="9">
        <v>13.9</v>
      </c>
      <c r="I73" s="9">
        <v>3.9975999999999998</v>
      </c>
      <c r="J73" s="9">
        <v>1.5</v>
      </c>
      <c r="K73" s="9">
        <v>3.5</v>
      </c>
      <c r="L73" s="9">
        <v>1.2</v>
      </c>
      <c r="M73" s="9">
        <v>6.9</v>
      </c>
      <c r="N73" s="9">
        <v>15.7</v>
      </c>
      <c r="O73" s="9">
        <v>16.829999999999998</v>
      </c>
      <c r="P73" s="11">
        <v>0</v>
      </c>
      <c r="Q73" s="9">
        <v>17.692346661136781</v>
      </c>
      <c r="R73" s="9">
        <v>16.1252822205612</v>
      </c>
      <c r="S73" s="9">
        <v>35178</v>
      </c>
      <c r="T73" s="9">
        <v>0</v>
      </c>
      <c r="U73" s="9">
        <v>16.100000000000001</v>
      </c>
      <c r="V73" s="9">
        <v>0</v>
      </c>
      <c r="W73" s="9">
        <v>0</v>
      </c>
      <c r="X73" s="9">
        <v>116814.09999999999</v>
      </c>
      <c r="Y73" s="9">
        <v>331865.36</v>
      </c>
      <c r="Z73" s="9">
        <v>62.7</v>
      </c>
      <c r="AA73" s="9">
        <v>44.7</v>
      </c>
    </row>
    <row r="74" spans="1:27" x14ac:dyDescent="0.25">
      <c r="A74" s="12">
        <v>39021</v>
      </c>
      <c r="B74" s="9">
        <v>0</v>
      </c>
      <c r="C74" s="9">
        <v>0</v>
      </c>
      <c r="D74" s="9">
        <v>0</v>
      </c>
      <c r="E74" s="9">
        <v>100.94000000000001</v>
      </c>
      <c r="F74" s="9">
        <v>15.7</v>
      </c>
      <c r="G74" s="9">
        <v>0</v>
      </c>
      <c r="H74" s="9">
        <v>14.3</v>
      </c>
      <c r="I74" s="9">
        <v>0</v>
      </c>
      <c r="J74" s="9">
        <v>1.4</v>
      </c>
      <c r="K74" s="9">
        <v>2.9</v>
      </c>
      <c r="L74" s="9">
        <v>1.1000000000000001</v>
      </c>
      <c r="M74" s="9">
        <v>5.6</v>
      </c>
      <c r="N74" s="9">
        <v>16.3</v>
      </c>
      <c r="O74" s="9">
        <v>17.100000000000001</v>
      </c>
      <c r="P74" s="11">
        <v>0</v>
      </c>
      <c r="Q74" s="9">
        <v>0</v>
      </c>
      <c r="R74" s="9">
        <v>0</v>
      </c>
      <c r="S74" s="9">
        <v>36072</v>
      </c>
      <c r="T74" s="9">
        <v>0</v>
      </c>
      <c r="U74" s="9">
        <v>14.7</v>
      </c>
      <c r="V74" s="9">
        <v>0</v>
      </c>
      <c r="W74" s="9">
        <v>0</v>
      </c>
      <c r="X74" s="9">
        <v>118359.96</v>
      </c>
      <c r="Y74" s="9">
        <v>332747.17</v>
      </c>
      <c r="Z74" s="9">
        <v>59.7</v>
      </c>
      <c r="AA74" s="9">
        <v>44</v>
      </c>
    </row>
    <row r="75" spans="1:27" x14ac:dyDescent="0.25">
      <c r="A75" s="12">
        <v>39051</v>
      </c>
      <c r="B75" s="9">
        <v>0</v>
      </c>
      <c r="C75" s="9">
        <v>0</v>
      </c>
      <c r="D75" s="9">
        <v>0</v>
      </c>
      <c r="E75" s="9">
        <v>100.69000000000001</v>
      </c>
      <c r="F75" s="9">
        <v>14.4</v>
      </c>
      <c r="G75" s="9">
        <v>0</v>
      </c>
      <c r="H75" s="9">
        <v>14.1</v>
      </c>
      <c r="I75" s="9">
        <v>0</v>
      </c>
      <c r="J75" s="9">
        <v>1.9</v>
      </c>
      <c r="K75" s="9">
        <v>2.78</v>
      </c>
      <c r="L75" s="9">
        <v>1.5</v>
      </c>
      <c r="M75" s="9">
        <v>4.8</v>
      </c>
      <c r="N75" s="9">
        <v>16.8</v>
      </c>
      <c r="O75" s="9">
        <v>16.8</v>
      </c>
      <c r="P75" s="11">
        <v>0</v>
      </c>
      <c r="Q75" s="9">
        <v>0</v>
      </c>
      <c r="R75" s="9">
        <v>0</v>
      </c>
      <c r="S75" s="9">
        <v>38860</v>
      </c>
      <c r="T75" s="9">
        <v>0</v>
      </c>
      <c r="U75" s="9">
        <v>14.9</v>
      </c>
      <c r="V75" s="9">
        <v>0</v>
      </c>
      <c r="W75" s="9">
        <v>0</v>
      </c>
      <c r="X75" s="9">
        <v>121644.95000000001</v>
      </c>
      <c r="Y75" s="9">
        <v>337504.14999999997</v>
      </c>
      <c r="Z75" s="9">
        <v>59.6</v>
      </c>
      <c r="AA75" s="9">
        <v>45.2</v>
      </c>
    </row>
    <row r="76" spans="1:27" x14ac:dyDescent="0.25">
      <c r="A76" s="12">
        <v>39082</v>
      </c>
      <c r="B76" s="9">
        <v>12.5</v>
      </c>
      <c r="C76" s="9">
        <v>0</v>
      </c>
      <c r="D76" s="9">
        <v>0</v>
      </c>
      <c r="E76" s="9">
        <v>101.3</v>
      </c>
      <c r="F76" s="9">
        <v>12.4</v>
      </c>
      <c r="G76" s="9">
        <v>0</v>
      </c>
      <c r="H76" s="9">
        <v>14.6</v>
      </c>
      <c r="I76" s="9">
        <v>4.6787999999999998</v>
      </c>
      <c r="J76" s="9">
        <v>2.8</v>
      </c>
      <c r="K76" s="9">
        <v>3.1</v>
      </c>
      <c r="L76" s="9">
        <v>2.4</v>
      </c>
      <c r="M76" s="9">
        <v>5</v>
      </c>
      <c r="N76" s="9">
        <v>17.48</v>
      </c>
      <c r="O76" s="9">
        <v>16.940000000000001</v>
      </c>
      <c r="P76" s="11">
        <v>18.100000000000001</v>
      </c>
      <c r="Q76" s="9">
        <v>17.818543404922881</v>
      </c>
      <c r="R76" s="9">
        <v>15.957337356163359</v>
      </c>
      <c r="S76" s="9">
        <v>42696</v>
      </c>
      <c r="T76" s="9">
        <v>26.45</v>
      </c>
      <c r="U76" s="9">
        <v>14.7</v>
      </c>
      <c r="V76" s="9">
        <v>0</v>
      </c>
      <c r="W76" s="9">
        <v>0</v>
      </c>
      <c r="X76" s="9">
        <v>126028.05</v>
      </c>
      <c r="Y76" s="9">
        <v>345577.91</v>
      </c>
      <c r="Z76" s="9">
        <v>58.9</v>
      </c>
      <c r="AA76" s="9">
        <v>46.5</v>
      </c>
    </row>
    <row r="77" spans="1:27" x14ac:dyDescent="0.25">
      <c r="A77" s="12">
        <v>39113</v>
      </c>
      <c r="B77" s="9">
        <v>0</v>
      </c>
      <c r="C77" s="9">
        <v>0</v>
      </c>
      <c r="D77" s="9">
        <v>0</v>
      </c>
      <c r="E77" s="9">
        <v>101.75</v>
      </c>
      <c r="F77" s="9">
        <v>14.1</v>
      </c>
      <c r="G77" s="9">
        <v>57.3</v>
      </c>
      <c r="H77" s="9">
        <v>12.7</v>
      </c>
      <c r="I77" s="9">
        <v>0</v>
      </c>
      <c r="J77" s="9">
        <v>2.2000000000000002</v>
      </c>
      <c r="K77" s="9">
        <v>3.3</v>
      </c>
      <c r="L77" s="9">
        <v>1.8</v>
      </c>
      <c r="M77" s="9">
        <v>4.7</v>
      </c>
      <c r="N77" s="9">
        <v>20.21</v>
      </c>
      <c r="O77" s="9">
        <v>15.93</v>
      </c>
      <c r="P77" s="11">
        <v>0</v>
      </c>
      <c r="Q77" s="9">
        <v>20.10259424518912</v>
      </c>
      <c r="R77" s="9">
        <v>0</v>
      </c>
      <c r="S77" s="9">
        <v>6908</v>
      </c>
      <c r="T77" s="9">
        <v>0</v>
      </c>
      <c r="U77" s="9">
        <v>24.71</v>
      </c>
      <c r="V77" s="9">
        <v>0</v>
      </c>
      <c r="W77" s="9">
        <v>0</v>
      </c>
      <c r="X77" s="9">
        <v>128484.06</v>
      </c>
      <c r="Y77" s="9">
        <v>351498.77</v>
      </c>
      <c r="Z77" s="9">
        <v>59.6</v>
      </c>
      <c r="AA77" s="9">
        <v>45.5</v>
      </c>
    </row>
    <row r="78" spans="1:27" x14ac:dyDescent="0.25">
      <c r="A78" s="12">
        <v>39141</v>
      </c>
      <c r="B78" s="9">
        <v>0</v>
      </c>
      <c r="C78" s="9">
        <v>0</v>
      </c>
      <c r="D78" s="9">
        <v>0</v>
      </c>
      <c r="E78" s="9">
        <v>102.08</v>
      </c>
      <c r="F78" s="9">
        <v>13.1</v>
      </c>
      <c r="G78" s="9">
        <v>57.9</v>
      </c>
      <c r="H78" s="9">
        <v>16.899999999999999</v>
      </c>
      <c r="I78" s="9">
        <v>0</v>
      </c>
      <c r="J78" s="9">
        <v>2.7</v>
      </c>
      <c r="K78" s="9">
        <v>2.6</v>
      </c>
      <c r="L78" s="9">
        <v>1.9</v>
      </c>
      <c r="M78" s="9">
        <v>3.99</v>
      </c>
      <c r="N78" s="9">
        <v>21</v>
      </c>
      <c r="O78" s="9">
        <v>17.8</v>
      </c>
      <c r="P78" s="11">
        <v>0</v>
      </c>
      <c r="Q78" s="9">
        <v>18.864874924137801</v>
      </c>
      <c r="R78" s="9">
        <v>0</v>
      </c>
      <c r="S78" s="9">
        <v>9991</v>
      </c>
      <c r="T78" s="9">
        <v>0</v>
      </c>
      <c r="U78" s="9">
        <v>12.6</v>
      </c>
      <c r="V78" s="9">
        <v>0</v>
      </c>
      <c r="W78" s="9">
        <v>0</v>
      </c>
      <c r="X78" s="9">
        <v>126258.08</v>
      </c>
      <c r="Y78" s="9">
        <v>358659.25</v>
      </c>
      <c r="Z78" s="9">
        <v>57.1</v>
      </c>
      <c r="AA78" s="9">
        <v>44</v>
      </c>
    </row>
    <row r="79" spans="1:27" x14ac:dyDescent="0.25">
      <c r="A79" s="12">
        <v>39172</v>
      </c>
      <c r="B79" s="9">
        <v>13.6</v>
      </c>
      <c r="C79" s="9">
        <v>0</v>
      </c>
      <c r="D79" s="9">
        <v>0</v>
      </c>
      <c r="E79" s="9">
        <v>102.06</v>
      </c>
      <c r="F79" s="9">
        <v>15</v>
      </c>
      <c r="G79" s="9">
        <v>56.9</v>
      </c>
      <c r="H79" s="9">
        <v>15.3</v>
      </c>
      <c r="I79" s="9">
        <v>6.7217000000000002</v>
      </c>
      <c r="J79" s="9">
        <v>3.3</v>
      </c>
      <c r="K79" s="9">
        <v>2.7</v>
      </c>
      <c r="L79" s="9">
        <v>2.5</v>
      </c>
      <c r="M79" s="9">
        <v>3.7</v>
      </c>
      <c r="N79" s="9">
        <v>19.8</v>
      </c>
      <c r="O79" s="9">
        <v>17.3</v>
      </c>
      <c r="P79" s="11">
        <v>0</v>
      </c>
      <c r="Q79" s="9">
        <v>19.364491971383579</v>
      </c>
      <c r="R79" s="9">
        <v>16.011385770007571</v>
      </c>
      <c r="S79" s="9">
        <v>16302</v>
      </c>
      <c r="T79" s="9">
        <v>0</v>
      </c>
      <c r="U79" s="9">
        <v>17.600000000000001</v>
      </c>
      <c r="V79" s="9">
        <v>0</v>
      </c>
      <c r="W79" s="9">
        <v>0</v>
      </c>
      <c r="X79" s="9">
        <v>127881.31</v>
      </c>
      <c r="Y79" s="9">
        <v>364104.66000000003</v>
      </c>
      <c r="Z79" s="9">
        <v>60.8</v>
      </c>
      <c r="AA79" s="9">
        <v>45.8</v>
      </c>
    </row>
    <row r="80" spans="1:27" x14ac:dyDescent="0.25">
      <c r="A80" s="12">
        <v>39202</v>
      </c>
      <c r="B80" s="9">
        <v>0</v>
      </c>
      <c r="C80" s="9">
        <v>0</v>
      </c>
      <c r="D80" s="9">
        <v>0</v>
      </c>
      <c r="E80" s="9">
        <v>102.14</v>
      </c>
      <c r="F80" s="9">
        <v>18.3</v>
      </c>
      <c r="G80" s="9">
        <v>57.2</v>
      </c>
      <c r="H80" s="9">
        <v>15.5</v>
      </c>
      <c r="I80" s="9">
        <v>0</v>
      </c>
      <c r="J80" s="9">
        <v>3</v>
      </c>
      <c r="K80" s="9">
        <v>2.9</v>
      </c>
      <c r="L80" s="9">
        <v>2.2000000000000002</v>
      </c>
      <c r="M80" s="9">
        <v>3.7</v>
      </c>
      <c r="N80" s="9">
        <v>20</v>
      </c>
      <c r="O80" s="9">
        <v>17.100000000000001</v>
      </c>
      <c r="P80" s="11">
        <v>0</v>
      </c>
      <c r="Q80" s="9">
        <v>20.768032333969192</v>
      </c>
      <c r="R80" s="9">
        <v>0</v>
      </c>
      <c r="S80" s="9">
        <v>22405</v>
      </c>
      <c r="T80" s="9">
        <v>0</v>
      </c>
      <c r="U80" s="9">
        <v>17.399999999999999</v>
      </c>
      <c r="V80" s="9">
        <v>0</v>
      </c>
      <c r="W80" s="9">
        <v>0</v>
      </c>
      <c r="X80" s="9">
        <v>127678.32999999999</v>
      </c>
      <c r="Y80" s="9">
        <v>367326.45</v>
      </c>
      <c r="Z80" s="9">
        <v>65.099999999999994</v>
      </c>
      <c r="AA80" s="9">
        <v>46.8</v>
      </c>
    </row>
    <row r="81" spans="1:27" x14ac:dyDescent="0.25">
      <c r="A81" s="12">
        <v>39233</v>
      </c>
      <c r="B81" s="9">
        <v>0</v>
      </c>
      <c r="C81" s="9">
        <v>0</v>
      </c>
      <c r="D81" s="9">
        <v>0</v>
      </c>
      <c r="E81" s="9">
        <v>102.42</v>
      </c>
      <c r="F81" s="9">
        <v>15.9</v>
      </c>
      <c r="G81" s="9">
        <v>57.5</v>
      </c>
      <c r="H81" s="9">
        <v>15.9</v>
      </c>
      <c r="I81" s="9">
        <v>0</v>
      </c>
      <c r="J81" s="9">
        <v>3.4</v>
      </c>
      <c r="K81" s="9">
        <v>2.8</v>
      </c>
      <c r="L81" s="9">
        <v>2.4</v>
      </c>
      <c r="M81" s="9">
        <v>3.6</v>
      </c>
      <c r="N81" s="9">
        <v>19.28</v>
      </c>
      <c r="O81" s="9">
        <v>16.739999999999998</v>
      </c>
      <c r="P81" s="11">
        <v>0</v>
      </c>
      <c r="Q81" s="9">
        <v>21.433549675199171</v>
      </c>
      <c r="R81" s="9">
        <v>0</v>
      </c>
      <c r="S81" s="9">
        <v>26229</v>
      </c>
      <c r="T81" s="9">
        <v>0</v>
      </c>
      <c r="U81" s="9">
        <v>18.100000000000001</v>
      </c>
      <c r="V81" s="9">
        <v>0</v>
      </c>
      <c r="W81" s="9">
        <v>0</v>
      </c>
      <c r="X81" s="9">
        <v>130275.8</v>
      </c>
      <c r="Y81" s="9">
        <v>369718.15</v>
      </c>
      <c r="Z81" s="9">
        <v>60.4</v>
      </c>
      <c r="AA81" s="9">
        <v>44.5</v>
      </c>
    </row>
    <row r="82" spans="1:27" x14ac:dyDescent="0.25">
      <c r="A82" s="12">
        <v>39263</v>
      </c>
      <c r="B82" s="9">
        <v>14.9</v>
      </c>
      <c r="C82" s="9">
        <v>0</v>
      </c>
      <c r="D82" s="9">
        <v>0</v>
      </c>
      <c r="E82" s="9">
        <v>102.53</v>
      </c>
      <c r="F82" s="9">
        <v>10.1</v>
      </c>
      <c r="G82" s="9">
        <v>56.3</v>
      </c>
      <c r="H82" s="9">
        <v>16</v>
      </c>
      <c r="I82" s="9">
        <v>6.9919000000000002</v>
      </c>
      <c r="J82" s="9">
        <v>4.4000000000000004</v>
      </c>
      <c r="K82" s="9">
        <v>2.4900000000000002</v>
      </c>
      <c r="L82" s="9">
        <v>3.2</v>
      </c>
      <c r="M82" s="9">
        <v>3.39</v>
      </c>
      <c r="N82" s="9">
        <v>20.92</v>
      </c>
      <c r="O82" s="9">
        <v>17.059999999999999</v>
      </c>
      <c r="P82" s="11">
        <v>0</v>
      </c>
      <c r="Q82" s="9">
        <v>21.157266295372491</v>
      </c>
      <c r="R82" s="9">
        <v>15.98774254973876</v>
      </c>
      <c r="S82" s="9">
        <v>33271</v>
      </c>
      <c r="T82" s="9">
        <v>0</v>
      </c>
      <c r="U82" s="9">
        <v>19.399999999999999</v>
      </c>
      <c r="V82" s="9">
        <v>0</v>
      </c>
      <c r="W82" s="9">
        <v>0</v>
      </c>
      <c r="X82" s="9">
        <v>135847.4</v>
      </c>
      <c r="Y82" s="9">
        <v>377832.15</v>
      </c>
      <c r="Z82" s="9">
        <v>57.4</v>
      </c>
      <c r="AA82" s="9">
        <v>47.3</v>
      </c>
    </row>
    <row r="83" spans="1:27" x14ac:dyDescent="0.25">
      <c r="A83" s="12">
        <v>39294</v>
      </c>
      <c r="B83" s="9">
        <v>0</v>
      </c>
      <c r="C83" s="9">
        <v>0</v>
      </c>
      <c r="D83" s="9">
        <v>0</v>
      </c>
      <c r="E83" s="9">
        <v>102.62</v>
      </c>
      <c r="F83" s="9">
        <v>8.5</v>
      </c>
      <c r="G83" s="9">
        <v>55.7</v>
      </c>
      <c r="H83" s="9">
        <v>16.399999999999999</v>
      </c>
      <c r="I83" s="9">
        <v>0</v>
      </c>
      <c r="J83" s="9">
        <v>5.6</v>
      </c>
      <c r="K83" s="9">
        <v>2.4</v>
      </c>
      <c r="L83" s="9">
        <v>4.4000000000000004</v>
      </c>
      <c r="M83" s="9">
        <v>3.57</v>
      </c>
      <c r="N83" s="9">
        <v>20.9</v>
      </c>
      <c r="O83" s="9">
        <v>18.5</v>
      </c>
      <c r="P83" s="11">
        <v>0</v>
      </c>
      <c r="Q83" s="9">
        <v>21.748111939282492</v>
      </c>
      <c r="R83" s="9">
        <v>0</v>
      </c>
      <c r="S83" s="9">
        <v>36371</v>
      </c>
      <c r="T83" s="9">
        <v>0</v>
      </c>
      <c r="U83" s="9">
        <v>18</v>
      </c>
      <c r="V83" s="9">
        <v>0</v>
      </c>
      <c r="W83" s="9">
        <v>0</v>
      </c>
      <c r="X83" s="9">
        <v>136237.43000000002</v>
      </c>
      <c r="Y83" s="9">
        <v>383884.88</v>
      </c>
      <c r="Z83" s="9">
        <v>56</v>
      </c>
      <c r="AA83" s="9">
        <v>47.5</v>
      </c>
    </row>
    <row r="84" spans="1:27" x14ac:dyDescent="0.25">
      <c r="A84" s="12">
        <v>39325</v>
      </c>
      <c r="B84" s="9">
        <v>0</v>
      </c>
      <c r="C84" s="9">
        <v>0</v>
      </c>
      <c r="D84" s="9">
        <v>0</v>
      </c>
      <c r="E84" s="9">
        <v>102.79</v>
      </c>
      <c r="F84" s="9">
        <v>10.6</v>
      </c>
      <c r="G84" s="9">
        <v>57</v>
      </c>
      <c r="H84" s="9">
        <v>17.100000000000001</v>
      </c>
      <c r="I84" s="9">
        <v>0</v>
      </c>
      <c r="J84" s="9">
        <v>6.5</v>
      </c>
      <c r="K84" s="9">
        <v>2.6</v>
      </c>
      <c r="L84" s="9">
        <v>5.2</v>
      </c>
      <c r="M84" s="9">
        <v>3.82</v>
      </c>
      <c r="N84" s="9">
        <v>22.8</v>
      </c>
      <c r="O84" s="9">
        <v>18.100000000000001</v>
      </c>
      <c r="P84" s="11">
        <v>0</v>
      </c>
      <c r="Q84" s="9">
        <v>22.605521589431099</v>
      </c>
      <c r="R84" s="9">
        <v>0</v>
      </c>
      <c r="S84" s="9">
        <v>43332</v>
      </c>
      <c r="T84" s="9">
        <v>0</v>
      </c>
      <c r="U84" s="9">
        <v>17.5</v>
      </c>
      <c r="V84" s="9">
        <v>0</v>
      </c>
      <c r="W84" s="9">
        <v>0</v>
      </c>
      <c r="X84" s="9">
        <v>140993.21000000002</v>
      </c>
      <c r="Y84" s="9">
        <v>387205.03999999992</v>
      </c>
      <c r="Z84" s="9">
        <v>56.3</v>
      </c>
      <c r="AA84" s="9">
        <v>45.7</v>
      </c>
    </row>
    <row r="85" spans="1:27" x14ac:dyDescent="0.25">
      <c r="A85" s="12">
        <v>39355</v>
      </c>
      <c r="B85" s="9">
        <v>14.2</v>
      </c>
      <c r="C85" s="9">
        <v>0</v>
      </c>
      <c r="D85" s="9">
        <v>0</v>
      </c>
      <c r="E85" s="9">
        <v>103.05</v>
      </c>
      <c r="F85" s="9">
        <v>13.3</v>
      </c>
      <c r="G85" s="9">
        <v>57.9</v>
      </c>
      <c r="H85" s="9">
        <v>17</v>
      </c>
      <c r="I85" s="9">
        <v>8.4928000000000008</v>
      </c>
      <c r="J85" s="9">
        <v>6.2</v>
      </c>
      <c r="K85" s="9">
        <v>2.7</v>
      </c>
      <c r="L85" s="9">
        <v>4.9000000000000004</v>
      </c>
      <c r="M85" s="9">
        <v>3.6</v>
      </c>
      <c r="N85" s="9">
        <v>22.07</v>
      </c>
      <c r="O85" s="9">
        <v>18.45</v>
      </c>
      <c r="P85" s="11">
        <v>0</v>
      </c>
      <c r="Q85" s="9">
        <v>23.26017566345509</v>
      </c>
      <c r="R85" s="9">
        <v>18.813412259113829</v>
      </c>
      <c r="S85" s="9">
        <v>48622</v>
      </c>
      <c r="T85" s="9">
        <v>0</v>
      </c>
      <c r="U85" s="9">
        <v>18.899999999999999</v>
      </c>
      <c r="V85" s="9">
        <v>0</v>
      </c>
      <c r="W85" s="9">
        <v>0</v>
      </c>
      <c r="X85" s="9">
        <v>142591.56999999998</v>
      </c>
      <c r="Y85" s="9">
        <v>393098.91</v>
      </c>
      <c r="Z85" s="9">
        <v>60.7</v>
      </c>
      <c r="AA85" s="9">
        <v>47.4</v>
      </c>
    </row>
    <row r="86" spans="1:27" x14ac:dyDescent="0.25">
      <c r="A86" s="12">
        <v>39386</v>
      </c>
      <c r="B86" s="9">
        <v>0</v>
      </c>
      <c r="C86" s="9">
        <v>0</v>
      </c>
      <c r="D86" s="9">
        <v>0</v>
      </c>
      <c r="E86" s="9">
        <v>103.18</v>
      </c>
      <c r="F86" s="9">
        <v>8.8000000000000007</v>
      </c>
      <c r="G86" s="9">
        <v>57.6</v>
      </c>
      <c r="H86" s="9">
        <v>18.100000000000001</v>
      </c>
      <c r="I86" s="9">
        <v>0</v>
      </c>
      <c r="J86" s="9">
        <v>6.5</v>
      </c>
      <c r="K86" s="9">
        <v>3.2</v>
      </c>
      <c r="L86" s="9">
        <v>5.3</v>
      </c>
      <c r="M86" s="9">
        <v>4.5</v>
      </c>
      <c r="N86" s="9">
        <v>22.21</v>
      </c>
      <c r="O86" s="9">
        <v>18.47</v>
      </c>
      <c r="P86" s="11">
        <v>0</v>
      </c>
      <c r="Q86" s="9">
        <v>24.034595235969039</v>
      </c>
      <c r="R86" s="9">
        <v>0</v>
      </c>
      <c r="S86" s="9">
        <v>52310</v>
      </c>
      <c r="T86" s="9">
        <v>0</v>
      </c>
      <c r="U86" s="9">
        <v>17.899999999999999</v>
      </c>
      <c r="V86" s="9">
        <v>0</v>
      </c>
      <c r="W86" s="9">
        <v>0</v>
      </c>
      <c r="X86" s="9">
        <v>144649.33000000002</v>
      </c>
      <c r="Y86" s="9">
        <v>394204.17</v>
      </c>
      <c r="Z86" s="9">
        <v>56.4</v>
      </c>
      <c r="AA86" s="9">
        <v>47.6</v>
      </c>
    </row>
    <row r="87" spans="1:27" x14ac:dyDescent="0.25">
      <c r="A87" s="12">
        <v>39416</v>
      </c>
      <c r="B87" s="9">
        <v>0</v>
      </c>
      <c r="C87" s="9">
        <v>0</v>
      </c>
      <c r="D87" s="9">
        <v>0</v>
      </c>
      <c r="E87" s="9">
        <v>103.3</v>
      </c>
      <c r="F87" s="9">
        <v>10.8</v>
      </c>
      <c r="G87" s="9">
        <v>58.2</v>
      </c>
      <c r="H87" s="9">
        <v>18.8</v>
      </c>
      <c r="I87" s="9">
        <v>0</v>
      </c>
      <c r="J87" s="9">
        <v>6.9</v>
      </c>
      <c r="K87" s="9">
        <v>4.55</v>
      </c>
      <c r="L87" s="9">
        <v>6</v>
      </c>
      <c r="M87" s="9">
        <v>6.33</v>
      </c>
      <c r="N87" s="9">
        <v>21.67</v>
      </c>
      <c r="O87" s="9">
        <v>18.45</v>
      </c>
      <c r="P87" s="11">
        <v>0</v>
      </c>
      <c r="Q87" s="9">
        <v>23.288546146269329</v>
      </c>
      <c r="R87" s="9">
        <v>0</v>
      </c>
      <c r="S87" s="9">
        <v>55383</v>
      </c>
      <c r="T87" s="9">
        <v>0</v>
      </c>
      <c r="U87" s="9">
        <v>17.3</v>
      </c>
      <c r="V87" s="9">
        <v>0</v>
      </c>
      <c r="W87" s="9">
        <v>0</v>
      </c>
      <c r="X87" s="9">
        <v>148009.82</v>
      </c>
      <c r="Y87" s="9">
        <v>399757.91</v>
      </c>
      <c r="Z87" s="9">
        <v>59.4</v>
      </c>
      <c r="AA87" s="9">
        <v>48.6</v>
      </c>
    </row>
    <row r="88" spans="1:27" x14ac:dyDescent="0.25">
      <c r="A88" s="12">
        <v>39447</v>
      </c>
      <c r="B88" s="9">
        <v>13.9</v>
      </c>
      <c r="C88" s="9">
        <v>0</v>
      </c>
      <c r="D88" s="9">
        <v>0</v>
      </c>
      <c r="E88" s="9">
        <v>103.10000000000001</v>
      </c>
      <c r="F88" s="9">
        <v>12.4</v>
      </c>
      <c r="G88" s="9">
        <v>57.2</v>
      </c>
      <c r="H88" s="9">
        <v>20.2</v>
      </c>
      <c r="I88" s="9">
        <v>8.6336999999999993</v>
      </c>
      <c r="J88" s="9">
        <v>6.5</v>
      </c>
      <c r="K88" s="9">
        <v>5.43</v>
      </c>
      <c r="L88" s="9">
        <v>5.6</v>
      </c>
      <c r="M88" s="9">
        <v>8.06</v>
      </c>
      <c r="N88" s="9">
        <v>21.01</v>
      </c>
      <c r="O88" s="9">
        <v>16.72</v>
      </c>
      <c r="P88" s="11">
        <v>21.5</v>
      </c>
      <c r="Q88" s="9">
        <v>22.637634883369699</v>
      </c>
      <c r="R88" s="9">
        <v>20.586790881424491</v>
      </c>
      <c r="S88" s="9">
        <v>59663</v>
      </c>
      <c r="T88" s="9">
        <v>32.132599999999996</v>
      </c>
      <c r="U88" s="9">
        <v>17.399999999999999</v>
      </c>
      <c r="V88" s="9">
        <v>0</v>
      </c>
      <c r="W88" s="9">
        <v>0</v>
      </c>
      <c r="X88" s="9">
        <v>152519.17000000001</v>
      </c>
      <c r="Y88" s="9">
        <v>403401.3</v>
      </c>
      <c r="Z88" s="9">
        <v>59.6</v>
      </c>
      <c r="AA88" s="9">
        <v>47.2</v>
      </c>
    </row>
    <row r="89" spans="1:27" x14ac:dyDescent="0.25">
      <c r="A89" s="12">
        <v>39478</v>
      </c>
      <c r="B89" s="9">
        <v>0</v>
      </c>
      <c r="C89" s="9">
        <v>0</v>
      </c>
      <c r="D89" s="9">
        <v>0</v>
      </c>
      <c r="E89" s="9">
        <v>102.6</v>
      </c>
      <c r="F89" s="9">
        <v>6.8</v>
      </c>
      <c r="G89" s="9">
        <v>56.3</v>
      </c>
      <c r="H89" s="9">
        <v>21.2</v>
      </c>
      <c r="I89" s="9">
        <v>0</v>
      </c>
      <c r="J89" s="9">
        <v>7.1</v>
      </c>
      <c r="K89" s="9">
        <v>6.1</v>
      </c>
      <c r="L89" s="9">
        <v>6.2</v>
      </c>
      <c r="M89" s="9">
        <v>8.8699999999999992</v>
      </c>
      <c r="N89" s="9">
        <v>20.72</v>
      </c>
      <c r="O89" s="9">
        <v>18.940000000000001</v>
      </c>
      <c r="P89" s="11">
        <v>0</v>
      </c>
      <c r="Q89" s="9">
        <v>21.495277734733691</v>
      </c>
      <c r="R89" s="9">
        <v>20.915561413702331</v>
      </c>
      <c r="S89" s="9">
        <v>10859</v>
      </c>
      <c r="T89" s="9">
        <v>0</v>
      </c>
      <c r="U89" s="9">
        <v>15.4</v>
      </c>
      <c r="V89" s="9">
        <v>0</v>
      </c>
      <c r="W89" s="9">
        <v>0</v>
      </c>
      <c r="X89" s="9">
        <v>154872.59</v>
      </c>
      <c r="Y89" s="9">
        <v>417846.17000000004</v>
      </c>
      <c r="Z89" s="9">
        <v>55.2</v>
      </c>
      <c r="AA89" s="9">
        <v>48.4</v>
      </c>
    </row>
    <row r="90" spans="1:27" x14ac:dyDescent="0.25">
      <c r="A90" s="12">
        <v>39507</v>
      </c>
      <c r="B90" s="9">
        <v>0</v>
      </c>
      <c r="C90" s="9">
        <v>0</v>
      </c>
      <c r="D90" s="9">
        <v>0</v>
      </c>
      <c r="E90" s="9">
        <v>102.6</v>
      </c>
      <c r="F90" s="9">
        <v>9.6</v>
      </c>
      <c r="G90" s="9">
        <v>54.8</v>
      </c>
      <c r="H90" s="9">
        <v>19.100000000000001</v>
      </c>
      <c r="I90" s="9">
        <v>0</v>
      </c>
      <c r="J90" s="9">
        <v>8.6999999999999993</v>
      </c>
      <c r="K90" s="9">
        <v>6.62</v>
      </c>
      <c r="L90" s="9">
        <v>8.1</v>
      </c>
      <c r="M90" s="9">
        <v>9.67</v>
      </c>
      <c r="N90" s="9">
        <v>19.2</v>
      </c>
      <c r="O90" s="9">
        <v>17.48</v>
      </c>
      <c r="P90" s="11">
        <v>0</v>
      </c>
      <c r="Q90" s="9">
        <v>23.445680523194358</v>
      </c>
      <c r="R90" s="9">
        <v>20.292429489377909</v>
      </c>
      <c r="S90" s="9">
        <v>15590</v>
      </c>
      <c r="T90" s="9">
        <v>0</v>
      </c>
      <c r="U90" s="9">
        <v>15.4</v>
      </c>
      <c r="V90" s="9">
        <v>0</v>
      </c>
      <c r="W90" s="9">
        <v>0</v>
      </c>
      <c r="X90" s="9">
        <v>150177.88</v>
      </c>
      <c r="Y90" s="9">
        <v>421037.83999999991</v>
      </c>
      <c r="Z90" s="9">
        <v>56.9</v>
      </c>
      <c r="AA90" s="9">
        <v>47.3</v>
      </c>
    </row>
    <row r="91" spans="1:27" x14ac:dyDescent="0.25">
      <c r="A91" s="12">
        <v>39538</v>
      </c>
      <c r="B91" s="9">
        <v>11.6</v>
      </c>
      <c r="C91" s="9">
        <v>0</v>
      </c>
      <c r="D91" s="9">
        <v>0</v>
      </c>
      <c r="E91" s="9">
        <v>102.45</v>
      </c>
      <c r="F91" s="9">
        <v>16.5</v>
      </c>
      <c r="G91" s="9">
        <v>55.8</v>
      </c>
      <c r="H91" s="9">
        <v>21.5</v>
      </c>
      <c r="I91" s="9">
        <v>8.875</v>
      </c>
      <c r="J91" s="9">
        <v>8.3000000000000007</v>
      </c>
      <c r="K91" s="9">
        <v>7.95</v>
      </c>
      <c r="L91" s="9">
        <v>7.8</v>
      </c>
      <c r="M91" s="9">
        <v>10.99</v>
      </c>
      <c r="N91" s="9">
        <v>18.25</v>
      </c>
      <c r="O91" s="9">
        <v>16.29</v>
      </c>
      <c r="P91" s="11">
        <v>0</v>
      </c>
      <c r="Q91" s="9">
        <v>22.408903012482028</v>
      </c>
      <c r="R91" s="9">
        <v>19.042777189841559</v>
      </c>
      <c r="S91" s="9">
        <v>21981</v>
      </c>
      <c r="T91" s="9">
        <v>0</v>
      </c>
      <c r="U91" s="9">
        <v>17.8</v>
      </c>
      <c r="V91" s="9">
        <v>0</v>
      </c>
      <c r="W91" s="9">
        <v>0</v>
      </c>
      <c r="X91" s="9">
        <v>150867.47</v>
      </c>
      <c r="Y91" s="9">
        <v>423054.52999999991</v>
      </c>
      <c r="Z91" s="9">
        <v>63.8</v>
      </c>
      <c r="AA91" s="9">
        <v>47.3</v>
      </c>
    </row>
    <row r="92" spans="1:27" x14ac:dyDescent="0.25">
      <c r="A92" s="12">
        <v>39568</v>
      </c>
      <c r="B92" s="9">
        <v>0</v>
      </c>
      <c r="C92" s="9">
        <v>0</v>
      </c>
      <c r="D92" s="9">
        <v>0</v>
      </c>
      <c r="E92" s="9">
        <v>103.26</v>
      </c>
      <c r="F92" s="9">
        <v>17.8</v>
      </c>
      <c r="G92" s="9">
        <v>54.2</v>
      </c>
      <c r="H92" s="9">
        <v>22</v>
      </c>
      <c r="I92" s="9">
        <v>0</v>
      </c>
      <c r="J92" s="9">
        <v>8.5</v>
      </c>
      <c r="K92" s="9">
        <v>8.1199999999999992</v>
      </c>
      <c r="L92" s="9">
        <v>8.1</v>
      </c>
      <c r="M92" s="9">
        <v>11.82</v>
      </c>
      <c r="N92" s="9">
        <v>19.05</v>
      </c>
      <c r="O92" s="9">
        <v>16.940000000000001</v>
      </c>
      <c r="P92" s="11">
        <v>0</v>
      </c>
      <c r="Q92" s="9">
        <v>22.04675402692321</v>
      </c>
      <c r="R92" s="9">
        <v>19.583592014814428</v>
      </c>
      <c r="S92" s="9">
        <v>29057</v>
      </c>
      <c r="T92" s="9">
        <v>0</v>
      </c>
      <c r="U92" s="9">
        <v>15.7</v>
      </c>
      <c r="V92" s="9">
        <v>0</v>
      </c>
      <c r="W92" s="9">
        <v>0</v>
      </c>
      <c r="X92" s="9">
        <v>151694.91</v>
      </c>
      <c r="Y92" s="9">
        <v>429313.72</v>
      </c>
      <c r="Z92" s="9">
        <v>65</v>
      </c>
      <c r="AA92" s="9">
        <v>47.2</v>
      </c>
    </row>
    <row r="93" spans="1:27" x14ac:dyDescent="0.25">
      <c r="A93" s="12">
        <v>39599</v>
      </c>
      <c r="B93" s="9">
        <v>0</v>
      </c>
      <c r="C93" s="9">
        <v>0</v>
      </c>
      <c r="D93" s="9">
        <v>0</v>
      </c>
      <c r="E93" s="9">
        <v>103.33000000000001</v>
      </c>
      <c r="F93" s="9">
        <v>6.7</v>
      </c>
      <c r="G93" s="9">
        <v>53.4</v>
      </c>
      <c r="H93" s="9">
        <v>21.6</v>
      </c>
      <c r="I93" s="9">
        <v>0</v>
      </c>
      <c r="J93" s="9">
        <v>7.7</v>
      </c>
      <c r="K93" s="9">
        <v>8.2200000000000006</v>
      </c>
      <c r="L93" s="9">
        <v>7.5</v>
      </c>
      <c r="M93" s="9">
        <v>11.86</v>
      </c>
      <c r="N93" s="9">
        <v>17.93</v>
      </c>
      <c r="O93" s="9">
        <v>18.07</v>
      </c>
      <c r="P93" s="11">
        <v>0</v>
      </c>
      <c r="Q93" s="9">
        <v>21.402034539062491</v>
      </c>
      <c r="R93" s="9">
        <v>19.049361290028969</v>
      </c>
      <c r="S93" s="9">
        <v>34735</v>
      </c>
      <c r="T93" s="9">
        <v>0</v>
      </c>
      <c r="U93" s="9">
        <v>16</v>
      </c>
      <c r="V93" s="9">
        <v>0</v>
      </c>
      <c r="W93" s="9">
        <v>0</v>
      </c>
      <c r="X93" s="9">
        <v>153344.75</v>
      </c>
      <c r="Y93" s="9">
        <v>436221.59999999992</v>
      </c>
      <c r="Z93" s="9">
        <v>55.4</v>
      </c>
      <c r="AA93" s="9">
        <v>48.7</v>
      </c>
    </row>
    <row r="94" spans="1:27" x14ac:dyDescent="0.25">
      <c r="A94" s="12">
        <v>39629</v>
      </c>
      <c r="B94" s="9">
        <v>11</v>
      </c>
      <c r="C94" s="9">
        <v>0</v>
      </c>
      <c r="D94" s="9">
        <v>0</v>
      </c>
      <c r="E94" s="9">
        <v>103.39999999999999</v>
      </c>
      <c r="F94" s="9">
        <v>3.1</v>
      </c>
      <c r="G94" s="9">
        <v>52.4</v>
      </c>
      <c r="H94" s="9">
        <v>23</v>
      </c>
      <c r="I94" s="9">
        <v>9.5934000000000008</v>
      </c>
      <c r="J94" s="9">
        <v>7.1</v>
      </c>
      <c r="K94" s="9">
        <v>8.84</v>
      </c>
      <c r="L94" s="9">
        <v>7.1</v>
      </c>
      <c r="M94" s="9">
        <v>13.48</v>
      </c>
      <c r="N94" s="9">
        <v>14.19</v>
      </c>
      <c r="O94" s="9">
        <v>17.37</v>
      </c>
      <c r="P94" s="11">
        <v>0</v>
      </c>
      <c r="Q94" s="9">
        <v>19.664133747202239</v>
      </c>
      <c r="R94" s="9">
        <v>17.6105329306356</v>
      </c>
      <c r="S94" s="9">
        <v>40711</v>
      </c>
      <c r="T94" s="9">
        <v>0</v>
      </c>
      <c r="U94" s="9">
        <v>16</v>
      </c>
      <c r="V94" s="9">
        <v>0</v>
      </c>
      <c r="W94" s="9">
        <v>0</v>
      </c>
      <c r="X94" s="9">
        <v>154820.15</v>
      </c>
      <c r="Y94" s="9">
        <v>443141.02</v>
      </c>
      <c r="Z94" s="9">
        <v>52.6</v>
      </c>
      <c r="AA94" s="9">
        <v>49.5</v>
      </c>
    </row>
    <row r="95" spans="1:27" x14ac:dyDescent="0.25">
      <c r="A95" s="12">
        <v>39660</v>
      </c>
      <c r="B95" s="9">
        <v>0</v>
      </c>
      <c r="C95" s="9">
        <v>0</v>
      </c>
      <c r="D95" s="9">
        <v>0</v>
      </c>
      <c r="E95" s="9">
        <v>102.8</v>
      </c>
      <c r="F95" s="9">
        <v>-1.6</v>
      </c>
      <c r="G95" s="9">
        <v>51.7</v>
      </c>
      <c r="H95" s="9">
        <v>23.3</v>
      </c>
      <c r="I95" s="9">
        <v>0</v>
      </c>
      <c r="J95" s="9">
        <v>6.3</v>
      </c>
      <c r="K95" s="9">
        <v>10.029999999999999</v>
      </c>
      <c r="L95" s="9">
        <v>6.8</v>
      </c>
      <c r="M95" s="9">
        <v>15.39</v>
      </c>
      <c r="N95" s="9">
        <v>13.96</v>
      </c>
      <c r="O95" s="9">
        <v>16.350000000000001</v>
      </c>
      <c r="P95" s="11">
        <v>0</v>
      </c>
      <c r="Q95" s="9">
        <v>19.53049096662858</v>
      </c>
      <c r="R95" s="9">
        <v>17.72046013866769</v>
      </c>
      <c r="S95" s="9">
        <v>45601</v>
      </c>
      <c r="T95" s="9">
        <v>0</v>
      </c>
      <c r="U95" s="9">
        <v>14.7</v>
      </c>
      <c r="V95" s="9">
        <v>0</v>
      </c>
      <c r="W95" s="9">
        <v>0</v>
      </c>
      <c r="X95" s="9">
        <v>154992.44</v>
      </c>
      <c r="Y95" s="9">
        <v>446362.16999999993</v>
      </c>
      <c r="Z95" s="9">
        <v>46.2</v>
      </c>
      <c r="AA95" s="9">
        <v>47.8</v>
      </c>
    </row>
    <row r="96" spans="1:27" x14ac:dyDescent="0.25">
      <c r="A96" s="12">
        <v>39691</v>
      </c>
      <c r="B96" s="9">
        <v>0</v>
      </c>
      <c r="C96" s="9">
        <v>0</v>
      </c>
      <c r="D96" s="9">
        <v>0</v>
      </c>
      <c r="E96" s="9">
        <v>101.9</v>
      </c>
      <c r="F96" s="9">
        <v>-3</v>
      </c>
      <c r="G96" s="9">
        <v>51.1</v>
      </c>
      <c r="H96" s="9">
        <v>23.2</v>
      </c>
      <c r="I96" s="9">
        <v>0</v>
      </c>
      <c r="J96" s="9">
        <v>4.9000000000000004</v>
      </c>
      <c r="K96" s="9">
        <v>10.06</v>
      </c>
      <c r="L96" s="9">
        <v>5.5</v>
      </c>
      <c r="M96" s="9">
        <v>15.34</v>
      </c>
      <c r="N96" s="9">
        <v>11.48</v>
      </c>
      <c r="O96" s="9">
        <v>16</v>
      </c>
      <c r="P96" s="11">
        <v>0</v>
      </c>
      <c r="Q96" s="9">
        <v>18.137541281162509</v>
      </c>
      <c r="R96" s="9">
        <v>14.69638550006905</v>
      </c>
      <c r="S96" s="9">
        <v>50176</v>
      </c>
      <c r="T96" s="9">
        <v>0</v>
      </c>
      <c r="U96" s="9">
        <v>12.8</v>
      </c>
      <c r="V96" s="9">
        <v>0</v>
      </c>
      <c r="W96" s="9">
        <v>0</v>
      </c>
      <c r="X96" s="9">
        <v>156889.92000000001</v>
      </c>
      <c r="Y96" s="9">
        <v>448846.67999999993</v>
      </c>
      <c r="Z96" s="9">
        <v>46</v>
      </c>
      <c r="AA96" s="9">
        <v>49</v>
      </c>
    </row>
    <row r="97" spans="1:27" x14ac:dyDescent="0.25">
      <c r="A97" s="12">
        <v>39721</v>
      </c>
      <c r="B97" s="9">
        <v>9.5</v>
      </c>
      <c r="C97" s="9">
        <v>0</v>
      </c>
      <c r="D97" s="9">
        <v>0</v>
      </c>
      <c r="E97" s="9">
        <v>100.8</v>
      </c>
      <c r="F97" s="9">
        <v>0.8</v>
      </c>
      <c r="G97" s="9">
        <v>51.6</v>
      </c>
      <c r="H97" s="9">
        <v>23.2</v>
      </c>
      <c r="I97" s="9">
        <v>8.4236000000000004</v>
      </c>
      <c r="J97" s="9">
        <v>4.5999999999999996</v>
      </c>
      <c r="K97" s="9">
        <v>9.1300000000000008</v>
      </c>
      <c r="L97" s="9">
        <v>5.3</v>
      </c>
      <c r="M97" s="9">
        <v>13.96</v>
      </c>
      <c r="N97" s="9">
        <v>9.43</v>
      </c>
      <c r="O97" s="9">
        <v>15.29</v>
      </c>
      <c r="P97" s="11">
        <v>0</v>
      </c>
      <c r="Q97" s="9">
        <v>17.277298833344538</v>
      </c>
      <c r="R97" s="9">
        <v>13.97082757722219</v>
      </c>
      <c r="S97" s="9">
        <v>55835</v>
      </c>
      <c r="T97" s="9">
        <v>0</v>
      </c>
      <c r="U97" s="9">
        <v>11.4</v>
      </c>
      <c r="V97" s="9">
        <v>0</v>
      </c>
      <c r="W97" s="9">
        <v>0</v>
      </c>
      <c r="X97" s="9">
        <v>155748.97</v>
      </c>
      <c r="Y97" s="9">
        <v>452898.71</v>
      </c>
      <c r="Z97" s="9">
        <v>51.3</v>
      </c>
      <c r="AA97" s="9">
        <v>50.5</v>
      </c>
    </row>
    <row r="98" spans="1:27" x14ac:dyDescent="0.25">
      <c r="A98" s="12">
        <v>39752</v>
      </c>
      <c r="B98" s="9">
        <v>0</v>
      </c>
      <c r="C98" s="9">
        <v>0</v>
      </c>
      <c r="D98" s="9">
        <v>0</v>
      </c>
      <c r="E98" s="9">
        <v>99.100000000000009</v>
      </c>
      <c r="F98" s="9">
        <v>-9.6999999999999993</v>
      </c>
      <c r="G98" s="9">
        <v>49.5</v>
      </c>
      <c r="H98" s="9">
        <v>22</v>
      </c>
      <c r="I98" s="9">
        <v>0</v>
      </c>
      <c r="J98" s="9">
        <v>4</v>
      </c>
      <c r="K98" s="9">
        <v>6.59</v>
      </c>
      <c r="L98" s="9">
        <v>4.5999999999999996</v>
      </c>
      <c r="M98" s="9">
        <v>11.04</v>
      </c>
      <c r="N98" s="9">
        <v>8.85</v>
      </c>
      <c r="O98" s="9">
        <v>15.02</v>
      </c>
      <c r="P98" s="11">
        <v>0</v>
      </c>
      <c r="Q98" s="9">
        <v>16.8497602051889</v>
      </c>
      <c r="R98" s="9">
        <v>13.74002295794825</v>
      </c>
      <c r="S98" s="9">
        <v>57123</v>
      </c>
      <c r="T98" s="9">
        <v>0</v>
      </c>
      <c r="U98" s="9">
        <v>8.1999999999999993</v>
      </c>
      <c r="V98" s="9">
        <v>0</v>
      </c>
      <c r="W98" s="9">
        <v>0</v>
      </c>
      <c r="X98" s="9">
        <v>157194.36000000002</v>
      </c>
      <c r="Y98" s="9">
        <v>453133.32</v>
      </c>
      <c r="Z98" s="9">
        <v>41.7</v>
      </c>
      <c r="AA98" s="9">
        <v>51.4</v>
      </c>
    </row>
    <row r="99" spans="1:27" x14ac:dyDescent="0.25">
      <c r="A99" s="12">
        <v>39782</v>
      </c>
      <c r="B99" s="9">
        <v>0</v>
      </c>
      <c r="C99" s="9">
        <v>0</v>
      </c>
      <c r="D99" s="9">
        <v>0</v>
      </c>
      <c r="E99" s="9">
        <v>97.6</v>
      </c>
      <c r="F99" s="9">
        <v>-18.5</v>
      </c>
      <c r="G99" s="9">
        <v>46.7</v>
      </c>
      <c r="H99" s="9">
        <v>20.8</v>
      </c>
      <c r="I99" s="9">
        <v>0</v>
      </c>
      <c r="J99" s="9">
        <v>2.4</v>
      </c>
      <c r="K99" s="9">
        <v>1.99</v>
      </c>
      <c r="L99" s="9">
        <v>2.7</v>
      </c>
      <c r="M99" s="9">
        <v>4.7</v>
      </c>
      <c r="N99" s="9">
        <v>6.8</v>
      </c>
      <c r="O99" s="9">
        <v>14.8</v>
      </c>
      <c r="P99" s="11">
        <v>0</v>
      </c>
      <c r="Q99" s="9">
        <v>17.139168810680321</v>
      </c>
      <c r="R99" s="9">
        <v>12.74776468542281</v>
      </c>
      <c r="S99" s="9">
        <v>61640</v>
      </c>
      <c r="T99" s="9">
        <v>0</v>
      </c>
      <c r="U99" s="9">
        <v>5.4</v>
      </c>
      <c r="V99" s="9">
        <v>0</v>
      </c>
      <c r="W99" s="9">
        <v>0</v>
      </c>
      <c r="X99" s="9">
        <v>157826.63</v>
      </c>
      <c r="Y99" s="9">
        <v>458644.66000000003</v>
      </c>
      <c r="Z99" s="9">
        <v>32.299999999999997</v>
      </c>
      <c r="AA99" s="9">
        <v>50.8</v>
      </c>
    </row>
    <row r="100" spans="1:27" x14ac:dyDescent="0.25">
      <c r="A100" s="12">
        <v>39813</v>
      </c>
      <c r="B100" s="9">
        <v>7.1</v>
      </c>
      <c r="C100" s="9">
        <v>0</v>
      </c>
      <c r="D100" s="9">
        <v>0</v>
      </c>
      <c r="E100" s="9">
        <v>95.5</v>
      </c>
      <c r="F100" s="9">
        <v>-7.4</v>
      </c>
      <c r="G100" s="9">
        <v>46.4</v>
      </c>
      <c r="H100" s="9">
        <v>19</v>
      </c>
      <c r="I100" s="9">
        <v>5.3179999999999996</v>
      </c>
      <c r="J100" s="9">
        <v>1.2</v>
      </c>
      <c r="K100" s="9">
        <v>-1.1399999999999999</v>
      </c>
      <c r="L100" s="9">
        <v>1.4</v>
      </c>
      <c r="M100" s="9">
        <v>-1.27</v>
      </c>
      <c r="N100" s="9">
        <v>9.06</v>
      </c>
      <c r="O100" s="9">
        <v>17.82</v>
      </c>
      <c r="P100" s="11">
        <v>20.5</v>
      </c>
      <c r="Q100" s="9">
        <v>18.532542899197839</v>
      </c>
      <c r="R100" s="9">
        <v>11.862946583860211</v>
      </c>
      <c r="S100" s="9">
        <v>69802</v>
      </c>
      <c r="T100" s="9">
        <v>37.976500000000001</v>
      </c>
      <c r="U100" s="9">
        <v>5.7</v>
      </c>
      <c r="V100" s="9">
        <v>0</v>
      </c>
      <c r="W100" s="9">
        <v>0</v>
      </c>
      <c r="X100" s="9">
        <v>166217.13</v>
      </c>
      <c r="Y100" s="9">
        <v>475166.6</v>
      </c>
      <c r="Z100" s="9">
        <v>37.299999999999997</v>
      </c>
      <c r="AA100" s="9">
        <v>44.7</v>
      </c>
    </row>
    <row r="101" spans="1:27" x14ac:dyDescent="0.25">
      <c r="A101" s="12">
        <v>39844</v>
      </c>
      <c r="B101" s="9">
        <v>0</v>
      </c>
      <c r="C101" s="9">
        <v>92.483908</v>
      </c>
      <c r="D101" s="9">
        <v>92.471726000000004</v>
      </c>
      <c r="E101" s="9">
        <v>94.5</v>
      </c>
      <c r="F101" s="9">
        <v>1.5</v>
      </c>
      <c r="G101" s="9">
        <v>50.3</v>
      </c>
      <c r="H101" s="9">
        <v>18.5</v>
      </c>
      <c r="I101" s="9">
        <v>0</v>
      </c>
      <c r="J101" s="9">
        <v>1</v>
      </c>
      <c r="K101" s="9">
        <v>-3.35</v>
      </c>
      <c r="L101" s="9">
        <v>0.7</v>
      </c>
      <c r="M101" s="9">
        <v>-5.28</v>
      </c>
      <c r="N101" s="9">
        <v>6.68</v>
      </c>
      <c r="O101" s="9">
        <v>18.79</v>
      </c>
      <c r="P101" s="11">
        <v>0</v>
      </c>
      <c r="Q101" s="9">
        <v>20.413177576641399</v>
      </c>
      <c r="R101" s="9">
        <v>13.47474841356772</v>
      </c>
      <c r="S101" s="9">
        <v>13990</v>
      </c>
      <c r="T101" s="9">
        <v>0</v>
      </c>
      <c r="U101" s="9">
        <v>-2.93</v>
      </c>
      <c r="V101" s="9">
        <v>0</v>
      </c>
      <c r="W101" s="9">
        <v>0</v>
      </c>
      <c r="X101" s="9">
        <v>165214.34</v>
      </c>
      <c r="Y101" s="9">
        <v>496135.31</v>
      </c>
      <c r="Z101" s="9">
        <v>45</v>
      </c>
      <c r="AA101" s="9">
        <v>43.5</v>
      </c>
    </row>
    <row r="102" spans="1:27" x14ac:dyDescent="0.25">
      <c r="A102" s="12">
        <v>39872</v>
      </c>
      <c r="B102" s="9">
        <v>0</v>
      </c>
      <c r="C102" s="9">
        <v>91.765438000000003</v>
      </c>
      <c r="D102" s="9">
        <v>91.795770000000005</v>
      </c>
      <c r="E102" s="9">
        <v>94</v>
      </c>
      <c r="F102" s="9">
        <v>2.7</v>
      </c>
      <c r="G102" s="9">
        <v>51</v>
      </c>
      <c r="H102" s="9">
        <v>11.6</v>
      </c>
      <c r="I102" s="9">
        <v>0</v>
      </c>
      <c r="J102" s="9">
        <v>-1.6</v>
      </c>
      <c r="K102" s="9">
        <v>-4.47</v>
      </c>
      <c r="L102" s="9">
        <v>-1.6</v>
      </c>
      <c r="M102" s="9">
        <v>-7.1</v>
      </c>
      <c r="N102" s="9">
        <v>10.87</v>
      </c>
      <c r="O102" s="9">
        <v>20.48</v>
      </c>
      <c r="P102" s="11">
        <v>0</v>
      </c>
      <c r="Q102" s="9">
        <v>21.381384933305569</v>
      </c>
      <c r="R102" s="9">
        <v>15.120570096875911</v>
      </c>
      <c r="S102" s="9">
        <v>25121</v>
      </c>
      <c r="T102" s="9">
        <v>0</v>
      </c>
      <c r="U102" s="9">
        <v>11</v>
      </c>
      <c r="V102" s="9">
        <v>0</v>
      </c>
      <c r="W102" s="9">
        <v>0</v>
      </c>
      <c r="X102" s="9">
        <v>166149.59999999998</v>
      </c>
      <c r="Y102" s="9">
        <v>506708.06999999995</v>
      </c>
      <c r="Z102" s="9">
        <v>50.4</v>
      </c>
      <c r="AA102" s="9">
        <v>47.7</v>
      </c>
    </row>
    <row r="103" spans="1:27" x14ac:dyDescent="0.25">
      <c r="A103" s="12">
        <v>39903</v>
      </c>
      <c r="B103" s="9">
        <v>6.4</v>
      </c>
      <c r="C103" s="9">
        <v>93.723786000000004</v>
      </c>
      <c r="D103" s="9">
        <v>93.925757000000004</v>
      </c>
      <c r="E103" s="9">
        <v>94.4</v>
      </c>
      <c r="F103" s="9">
        <v>7.9</v>
      </c>
      <c r="G103" s="9">
        <v>51.5</v>
      </c>
      <c r="H103" s="9">
        <v>14.7</v>
      </c>
      <c r="I103" s="9">
        <v>0.27139999999999997</v>
      </c>
      <c r="J103" s="9">
        <v>-1.2</v>
      </c>
      <c r="K103" s="9">
        <v>-6</v>
      </c>
      <c r="L103" s="9">
        <v>-1.5</v>
      </c>
      <c r="M103" s="9">
        <v>-8.9</v>
      </c>
      <c r="N103" s="9">
        <v>17.04</v>
      </c>
      <c r="O103" s="9">
        <v>25.51</v>
      </c>
      <c r="P103" s="11">
        <v>0</v>
      </c>
      <c r="Q103" s="9">
        <v>24.44838209968345</v>
      </c>
      <c r="R103" s="9">
        <v>19.699232089993249</v>
      </c>
      <c r="S103" s="9">
        <v>47132</v>
      </c>
      <c r="T103" s="9">
        <v>0</v>
      </c>
      <c r="U103" s="9">
        <v>8.3000000000000007</v>
      </c>
      <c r="V103" s="9">
        <v>0</v>
      </c>
      <c r="W103" s="9">
        <v>0</v>
      </c>
      <c r="X103" s="9">
        <v>176541.13</v>
      </c>
      <c r="Y103" s="9">
        <v>530626.71</v>
      </c>
      <c r="Z103" s="9">
        <v>54.6</v>
      </c>
      <c r="AA103" s="9">
        <v>46.7</v>
      </c>
    </row>
    <row r="104" spans="1:27" x14ac:dyDescent="0.25">
      <c r="A104" s="12">
        <v>39933</v>
      </c>
      <c r="B104" s="9">
        <v>0</v>
      </c>
      <c r="C104" s="9">
        <v>94.720978000000002</v>
      </c>
      <c r="D104" s="9">
        <v>94.977649</v>
      </c>
      <c r="E104" s="9">
        <v>94.899999999999991</v>
      </c>
      <c r="F104" s="9">
        <v>11.8</v>
      </c>
      <c r="G104" s="9">
        <v>50</v>
      </c>
      <c r="H104" s="9">
        <v>14.8</v>
      </c>
      <c r="I104" s="9">
        <v>0</v>
      </c>
      <c r="J104" s="9">
        <v>-1.5</v>
      </c>
      <c r="K104" s="9">
        <v>-6.6</v>
      </c>
      <c r="L104" s="9">
        <v>-1.9</v>
      </c>
      <c r="M104" s="9">
        <v>-9.56</v>
      </c>
      <c r="N104" s="9">
        <v>17.48</v>
      </c>
      <c r="O104" s="9">
        <v>25.889999999999997</v>
      </c>
      <c r="P104" s="11">
        <v>0</v>
      </c>
      <c r="Q104" s="9">
        <v>24.294030225131891</v>
      </c>
      <c r="R104" s="9">
        <v>20.335751413032511</v>
      </c>
      <c r="S104" s="9">
        <v>52584</v>
      </c>
      <c r="T104" s="9">
        <v>0</v>
      </c>
      <c r="U104" s="9">
        <v>7.3</v>
      </c>
      <c r="V104" s="9">
        <v>0</v>
      </c>
      <c r="W104" s="9">
        <v>0</v>
      </c>
      <c r="X104" s="9">
        <v>178213.57</v>
      </c>
      <c r="Y104" s="9">
        <v>540481.21</v>
      </c>
      <c r="Z104" s="9">
        <v>56.6</v>
      </c>
      <c r="AA104" s="9">
        <v>44.8</v>
      </c>
    </row>
    <row r="105" spans="1:27" x14ac:dyDescent="0.25">
      <c r="A105" s="12">
        <v>39964</v>
      </c>
      <c r="B105" s="9">
        <v>0</v>
      </c>
      <c r="C105" s="9">
        <v>94.780496999999997</v>
      </c>
      <c r="D105" s="9">
        <v>95.039741000000006</v>
      </c>
      <c r="E105" s="9">
        <v>95.399999999999991</v>
      </c>
      <c r="F105" s="9">
        <v>10</v>
      </c>
      <c r="G105" s="9">
        <v>52.3</v>
      </c>
      <c r="H105" s="9">
        <v>15.2</v>
      </c>
      <c r="I105" s="9">
        <v>0</v>
      </c>
      <c r="J105" s="9">
        <v>-1.4</v>
      </c>
      <c r="K105" s="9">
        <v>-7.2</v>
      </c>
      <c r="L105" s="9">
        <v>-1.9</v>
      </c>
      <c r="M105" s="9">
        <v>-10.37</v>
      </c>
      <c r="N105" s="9">
        <v>18.690000000000001</v>
      </c>
      <c r="O105" s="9">
        <v>25.74</v>
      </c>
      <c r="P105" s="11">
        <v>0</v>
      </c>
      <c r="Q105" s="9">
        <v>25.45369868192757</v>
      </c>
      <c r="R105" s="9">
        <v>21.921207556599711</v>
      </c>
      <c r="S105" s="9">
        <v>67543</v>
      </c>
      <c r="T105" s="9">
        <v>0</v>
      </c>
      <c r="U105" s="9">
        <v>8.9</v>
      </c>
      <c r="V105" s="9">
        <v>0</v>
      </c>
      <c r="W105" s="9">
        <v>0</v>
      </c>
      <c r="X105" s="9">
        <v>182025.58000000002</v>
      </c>
      <c r="Y105" s="9">
        <v>548263.51</v>
      </c>
      <c r="Z105" s="9">
        <v>56.2</v>
      </c>
      <c r="AA105" s="9">
        <v>46.2</v>
      </c>
    </row>
    <row r="106" spans="1:27" x14ac:dyDescent="0.25">
      <c r="A106" s="12">
        <v>39994</v>
      </c>
      <c r="B106" s="9">
        <v>8.1999999999999993</v>
      </c>
      <c r="C106" s="9">
        <v>98.630801000000005</v>
      </c>
      <c r="D106" s="9">
        <v>98.776331999999996</v>
      </c>
      <c r="E106" s="9">
        <v>95.9</v>
      </c>
      <c r="F106" s="9">
        <v>10.5</v>
      </c>
      <c r="G106" s="9">
        <v>51.6</v>
      </c>
      <c r="H106" s="9">
        <v>15</v>
      </c>
      <c r="I106" s="9">
        <v>-1.4628000000000001</v>
      </c>
      <c r="J106" s="9">
        <v>-1.7</v>
      </c>
      <c r="K106" s="9">
        <v>-7.8</v>
      </c>
      <c r="L106" s="9">
        <v>-2.2999999999999998</v>
      </c>
      <c r="M106" s="9">
        <v>-11.25</v>
      </c>
      <c r="N106" s="9">
        <v>24.790000000000003</v>
      </c>
      <c r="O106" s="9">
        <v>28.46</v>
      </c>
      <c r="P106" s="11">
        <v>0</v>
      </c>
      <c r="Q106" s="9">
        <v>27.251607973079938</v>
      </c>
      <c r="R106" s="9">
        <v>26.609465660887299</v>
      </c>
      <c r="S106" s="9">
        <v>88610</v>
      </c>
      <c r="T106" s="9">
        <v>0</v>
      </c>
      <c r="U106" s="9">
        <v>10.7</v>
      </c>
      <c r="V106" s="9">
        <v>0</v>
      </c>
      <c r="W106" s="9">
        <v>0</v>
      </c>
      <c r="X106" s="9">
        <v>193138.15</v>
      </c>
      <c r="Y106" s="9">
        <v>568916.19999999995</v>
      </c>
      <c r="Z106" s="9">
        <v>55.5</v>
      </c>
      <c r="AA106" s="9">
        <v>45</v>
      </c>
    </row>
    <row r="107" spans="1:27" x14ac:dyDescent="0.25">
      <c r="A107" s="12">
        <v>40025</v>
      </c>
      <c r="B107" s="9">
        <v>0</v>
      </c>
      <c r="C107" s="9">
        <v>98.729659999999996</v>
      </c>
      <c r="D107" s="9">
        <v>98.957509999999999</v>
      </c>
      <c r="E107" s="9">
        <v>96.5</v>
      </c>
      <c r="F107" s="9">
        <v>9.9</v>
      </c>
      <c r="G107" s="9">
        <v>53.8</v>
      </c>
      <c r="H107" s="9">
        <v>15.2</v>
      </c>
      <c r="I107" s="9">
        <v>0</v>
      </c>
      <c r="J107" s="9">
        <v>-1.8</v>
      </c>
      <c r="K107" s="9">
        <v>-8.1999999999999993</v>
      </c>
      <c r="L107" s="9">
        <v>-2.5</v>
      </c>
      <c r="M107" s="9">
        <v>-11.68</v>
      </c>
      <c r="N107" s="9">
        <v>26.369999999999997</v>
      </c>
      <c r="O107" s="9">
        <v>28.42</v>
      </c>
      <c r="P107" s="11">
        <v>0</v>
      </c>
      <c r="Q107" s="9">
        <v>26.38094613215231</v>
      </c>
      <c r="R107" s="9">
        <v>27.290062581158882</v>
      </c>
      <c r="S107" s="9">
        <v>95998</v>
      </c>
      <c r="T107" s="9">
        <v>0</v>
      </c>
      <c r="U107" s="9">
        <v>10.8</v>
      </c>
      <c r="V107" s="9">
        <v>0</v>
      </c>
      <c r="W107" s="9">
        <v>0</v>
      </c>
      <c r="X107" s="9">
        <v>195889.27</v>
      </c>
      <c r="Y107" s="9">
        <v>573102.85</v>
      </c>
      <c r="Z107" s="9">
        <v>55.5</v>
      </c>
      <c r="AA107" s="9">
        <v>45.6</v>
      </c>
    </row>
    <row r="108" spans="1:27" x14ac:dyDescent="0.25">
      <c r="A108" s="12">
        <v>40056</v>
      </c>
      <c r="B108" s="9">
        <v>0</v>
      </c>
      <c r="C108" s="9">
        <v>102.371224</v>
      </c>
      <c r="D108" s="9">
        <v>102.75353</v>
      </c>
      <c r="E108" s="9">
        <v>97.3</v>
      </c>
      <c r="F108" s="9">
        <v>9.8000000000000007</v>
      </c>
      <c r="G108" s="9">
        <v>53.8</v>
      </c>
      <c r="H108" s="9">
        <v>15.4</v>
      </c>
      <c r="I108" s="9">
        <v>0</v>
      </c>
      <c r="J108" s="9">
        <v>-1.2</v>
      </c>
      <c r="K108" s="9">
        <v>-7.86</v>
      </c>
      <c r="L108" s="9">
        <v>-2</v>
      </c>
      <c r="M108" s="9">
        <v>-11.37</v>
      </c>
      <c r="N108" s="9">
        <v>27.72</v>
      </c>
      <c r="O108" s="9">
        <v>28.529999999999998</v>
      </c>
      <c r="P108" s="11">
        <v>0</v>
      </c>
      <c r="Q108" s="9">
        <v>26.673360718773591</v>
      </c>
      <c r="R108" s="9">
        <v>28.41851510459637</v>
      </c>
      <c r="S108" s="9">
        <v>103648</v>
      </c>
      <c r="T108" s="9">
        <v>0</v>
      </c>
      <c r="U108" s="9">
        <v>12.3</v>
      </c>
      <c r="V108" s="9">
        <v>0</v>
      </c>
      <c r="W108" s="9">
        <v>0</v>
      </c>
      <c r="X108" s="9">
        <v>200394.83</v>
      </c>
      <c r="Y108" s="9">
        <v>576698.94999999995</v>
      </c>
      <c r="Z108" s="9">
        <v>56.3</v>
      </c>
      <c r="AA108" s="9">
        <v>46.5</v>
      </c>
    </row>
    <row r="109" spans="1:27" x14ac:dyDescent="0.25">
      <c r="A109" s="12">
        <v>40086</v>
      </c>
      <c r="B109" s="9">
        <v>10.6</v>
      </c>
      <c r="C109" s="9">
        <v>103.96184</v>
      </c>
      <c r="D109" s="9">
        <v>104.226794</v>
      </c>
      <c r="E109" s="9">
        <v>98.1</v>
      </c>
      <c r="F109" s="9">
        <v>10.8</v>
      </c>
      <c r="G109" s="9">
        <v>54.6</v>
      </c>
      <c r="H109" s="9">
        <v>15.5</v>
      </c>
      <c r="I109" s="9">
        <v>-1.3991</v>
      </c>
      <c r="J109" s="9">
        <v>-0.8</v>
      </c>
      <c r="K109" s="9">
        <v>-6.99</v>
      </c>
      <c r="L109" s="9">
        <v>-1.5</v>
      </c>
      <c r="M109" s="9">
        <v>-10.11</v>
      </c>
      <c r="N109" s="9">
        <v>29.51</v>
      </c>
      <c r="O109" s="9">
        <v>29.310000000000002</v>
      </c>
      <c r="P109" s="11">
        <v>0</v>
      </c>
      <c r="Q109" s="9">
        <v>27.018157044965861</v>
      </c>
      <c r="R109" s="9">
        <v>29.781344032819462</v>
      </c>
      <c r="S109" s="9">
        <v>115519</v>
      </c>
      <c r="T109" s="9">
        <v>0</v>
      </c>
      <c r="U109" s="9">
        <v>13.9</v>
      </c>
      <c r="V109" s="9">
        <v>0</v>
      </c>
      <c r="W109" s="9">
        <v>0</v>
      </c>
      <c r="X109" s="9">
        <v>201708.14</v>
      </c>
      <c r="Y109" s="9">
        <v>585405.34000000008</v>
      </c>
      <c r="Z109" s="9">
        <v>56.8</v>
      </c>
      <c r="AA109" s="9">
        <v>46</v>
      </c>
    </row>
    <row r="110" spans="1:27" x14ac:dyDescent="0.25">
      <c r="A110" s="12">
        <v>40117</v>
      </c>
      <c r="B110" s="9">
        <v>0</v>
      </c>
      <c r="C110" s="9">
        <v>108.952989</v>
      </c>
      <c r="D110" s="9">
        <v>109.904572</v>
      </c>
      <c r="E110" s="9">
        <v>99.399999999999991</v>
      </c>
      <c r="F110" s="9">
        <v>15.1</v>
      </c>
      <c r="G110" s="9">
        <v>55</v>
      </c>
      <c r="H110" s="9">
        <v>16.2</v>
      </c>
      <c r="I110" s="9">
        <v>0</v>
      </c>
      <c r="J110" s="9">
        <v>-0.5</v>
      </c>
      <c r="K110" s="9">
        <v>-5.85</v>
      </c>
      <c r="L110" s="9">
        <v>-1.3</v>
      </c>
      <c r="M110" s="9">
        <v>-8.39</v>
      </c>
      <c r="N110" s="9">
        <v>32.03</v>
      </c>
      <c r="O110" s="9">
        <v>29.42</v>
      </c>
      <c r="P110" s="11">
        <v>0</v>
      </c>
      <c r="Q110" s="9">
        <v>26.50769917365939</v>
      </c>
      <c r="R110" s="9">
        <v>30.475101841265051</v>
      </c>
      <c r="S110" s="9">
        <v>121504</v>
      </c>
      <c r="T110" s="9">
        <v>0</v>
      </c>
      <c r="U110" s="9">
        <v>16.100000000000001</v>
      </c>
      <c r="V110" s="9">
        <v>0</v>
      </c>
      <c r="W110" s="9">
        <v>0</v>
      </c>
      <c r="X110" s="9">
        <v>207545.74000000002</v>
      </c>
      <c r="Y110" s="9">
        <v>586643.29</v>
      </c>
      <c r="Z110" s="9">
        <v>58.5</v>
      </c>
      <c r="AA110" s="9">
        <v>43.4</v>
      </c>
    </row>
    <row r="111" spans="1:27" x14ac:dyDescent="0.25">
      <c r="A111" s="12">
        <v>40147</v>
      </c>
      <c r="B111" s="9">
        <v>0</v>
      </c>
      <c r="C111" s="9">
        <v>118.65759799999999</v>
      </c>
      <c r="D111" s="9">
        <v>119.611316</v>
      </c>
      <c r="E111" s="9">
        <v>100.4</v>
      </c>
      <c r="F111" s="9">
        <v>13</v>
      </c>
      <c r="G111" s="9">
        <v>54.7</v>
      </c>
      <c r="H111" s="9">
        <v>15.8</v>
      </c>
      <c r="I111" s="9">
        <v>0</v>
      </c>
      <c r="J111" s="9">
        <v>0.6</v>
      </c>
      <c r="K111" s="9">
        <v>-2.08</v>
      </c>
      <c r="L111" s="9">
        <v>0</v>
      </c>
      <c r="M111" s="9">
        <v>-3.61</v>
      </c>
      <c r="N111" s="9">
        <v>34.630000000000003</v>
      </c>
      <c r="O111" s="9">
        <v>29.74</v>
      </c>
      <c r="P111" s="11">
        <v>0</v>
      </c>
      <c r="Q111" s="9">
        <v>27.07445079962568</v>
      </c>
      <c r="R111" s="9">
        <v>32.760182234839561</v>
      </c>
      <c r="S111" s="9">
        <v>131005</v>
      </c>
      <c r="T111" s="9">
        <v>0</v>
      </c>
      <c r="U111" s="9">
        <v>19.2</v>
      </c>
      <c r="V111" s="9">
        <v>0</v>
      </c>
      <c r="W111" s="9">
        <v>0</v>
      </c>
      <c r="X111" s="9">
        <v>212493.2</v>
      </c>
      <c r="Y111" s="9">
        <v>594604.72</v>
      </c>
      <c r="Z111" s="9">
        <v>58.4</v>
      </c>
      <c r="AA111" s="9">
        <v>45.4</v>
      </c>
    </row>
    <row r="112" spans="1:27" x14ac:dyDescent="0.25">
      <c r="A112" s="12">
        <v>40178</v>
      </c>
      <c r="B112" s="9">
        <v>11.9</v>
      </c>
      <c r="C112" s="9">
        <v>120.728122</v>
      </c>
      <c r="D112" s="9">
        <v>121.5557</v>
      </c>
      <c r="E112" s="9">
        <v>102.1</v>
      </c>
      <c r="F112" s="9">
        <v>13.9</v>
      </c>
      <c r="G112" s="9">
        <v>55.3</v>
      </c>
      <c r="H112" s="9">
        <v>17.5</v>
      </c>
      <c r="I112" s="9">
        <v>1.6827000000000001</v>
      </c>
      <c r="J112" s="9">
        <v>1.9</v>
      </c>
      <c r="K112" s="9">
        <v>1.7</v>
      </c>
      <c r="L112" s="9">
        <v>1.4</v>
      </c>
      <c r="M112" s="9">
        <v>3.02</v>
      </c>
      <c r="N112" s="9">
        <v>32.35</v>
      </c>
      <c r="O112" s="9">
        <v>27.68</v>
      </c>
      <c r="P112" s="11">
        <v>34.799999999999997</v>
      </c>
      <c r="Q112" s="9">
        <v>26.237862288406429</v>
      </c>
      <c r="R112" s="9">
        <v>31.652371679048201</v>
      </c>
      <c r="S112" s="9">
        <v>139104</v>
      </c>
      <c r="T112" s="9">
        <v>51.183500000000002</v>
      </c>
      <c r="U112" s="9">
        <v>18.5</v>
      </c>
      <c r="V112" s="9">
        <v>0</v>
      </c>
      <c r="W112" s="9">
        <v>0</v>
      </c>
      <c r="X112" s="9">
        <v>221445.81</v>
      </c>
      <c r="Y112" s="9">
        <v>610224.52</v>
      </c>
      <c r="Z112" s="9">
        <v>61</v>
      </c>
      <c r="AA112" s="9">
        <v>47.1</v>
      </c>
    </row>
    <row r="113" spans="1:27" x14ac:dyDescent="0.25">
      <c r="A113" s="12">
        <v>40209</v>
      </c>
      <c r="B113" s="9">
        <v>0</v>
      </c>
      <c r="C113" s="9">
        <v>121.15707500000001</v>
      </c>
      <c r="D113" s="9">
        <v>121.65490200000001</v>
      </c>
      <c r="E113" s="9">
        <v>103.2</v>
      </c>
      <c r="F113" s="9">
        <v>12.6</v>
      </c>
      <c r="G113" s="9">
        <v>54.3</v>
      </c>
      <c r="H113" s="9">
        <v>14</v>
      </c>
      <c r="I113" s="9">
        <v>0</v>
      </c>
      <c r="J113" s="9">
        <v>1.5</v>
      </c>
      <c r="K113" s="9">
        <v>4.32</v>
      </c>
      <c r="L113" s="9">
        <v>1.8</v>
      </c>
      <c r="M113" s="9">
        <v>7.96</v>
      </c>
      <c r="N113" s="9">
        <v>38.96</v>
      </c>
      <c r="O113" s="9">
        <v>25.98</v>
      </c>
      <c r="P113" s="11">
        <v>0</v>
      </c>
      <c r="Q113" s="9">
        <v>24.958369996992431</v>
      </c>
      <c r="R113" s="9">
        <v>29.5096676748968</v>
      </c>
      <c r="S113" s="9">
        <v>20550</v>
      </c>
      <c r="T113" s="9">
        <v>0</v>
      </c>
      <c r="U113" s="9">
        <v>29.2</v>
      </c>
      <c r="V113" s="9">
        <v>0</v>
      </c>
      <c r="W113" s="9">
        <v>0</v>
      </c>
      <c r="X113" s="9">
        <v>229588.97999999998</v>
      </c>
      <c r="Y113" s="9">
        <v>625609.29</v>
      </c>
      <c r="Z113" s="9">
        <v>59.9</v>
      </c>
      <c r="AA113" s="9">
        <v>47.3</v>
      </c>
    </row>
    <row r="114" spans="1:27" x14ac:dyDescent="0.25">
      <c r="A114" s="12">
        <v>40237</v>
      </c>
      <c r="B114" s="9">
        <v>0</v>
      </c>
      <c r="C114" s="9">
        <v>121.94179800000001</v>
      </c>
      <c r="D114" s="9">
        <v>122.30040099999999</v>
      </c>
      <c r="E114" s="9">
        <v>104</v>
      </c>
      <c r="F114" s="9">
        <v>6.4</v>
      </c>
      <c r="G114" s="9">
        <v>53.5</v>
      </c>
      <c r="H114" s="9">
        <v>22.1</v>
      </c>
      <c r="I114" s="9">
        <v>0</v>
      </c>
      <c r="J114" s="9">
        <v>2.7</v>
      </c>
      <c r="K114" s="9">
        <v>5.39</v>
      </c>
      <c r="L114" s="9">
        <v>2.5</v>
      </c>
      <c r="M114" s="9">
        <v>10.26</v>
      </c>
      <c r="N114" s="9">
        <v>34.99</v>
      </c>
      <c r="O114" s="9">
        <v>25.52</v>
      </c>
      <c r="P114" s="11">
        <v>0</v>
      </c>
      <c r="Q114" s="9">
        <v>22.139822811404649</v>
      </c>
      <c r="R114" s="9">
        <v>27.983976355903071</v>
      </c>
      <c r="S114" s="9">
        <v>31427</v>
      </c>
      <c r="T114" s="9">
        <v>0</v>
      </c>
      <c r="U114" s="9">
        <v>12.8</v>
      </c>
      <c r="V114" s="9">
        <v>0</v>
      </c>
      <c r="W114" s="9">
        <v>0</v>
      </c>
      <c r="X114" s="9">
        <v>224286.94999999998</v>
      </c>
      <c r="Y114" s="9">
        <v>636072.26</v>
      </c>
      <c r="Z114" s="9">
        <v>53.7</v>
      </c>
      <c r="AA114" s="9">
        <v>47.3</v>
      </c>
    </row>
    <row r="115" spans="1:27" x14ac:dyDescent="0.25">
      <c r="A115" s="12">
        <v>40268</v>
      </c>
      <c r="B115" s="9">
        <v>12.2</v>
      </c>
      <c r="C115" s="9">
        <v>119.699051</v>
      </c>
      <c r="D115" s="9">
        <v>119.783404</v>
      </c>
      <c r="E115" s="9">
        <v>104</v>
      </c>
      <c r="F115" s="9">
        <v>9.8000000000000007</v>
      </c>
      <c r="G115" s="9">
        <v>53.4</v>
      </c>
      <c r="H115" s="9">
        <v>18</v>
      </c>
      <c r="I115" s="9">
        <v>5.4509999999999996</v>
      </c>
      <c r="J115" s="9">
        <v>2.4</v>
      </c>
      <c r="K115" s="9">
        <v>5.91</v>
      </c>
      <c r="L115" s="9">
        <v>2.2999999999999998</v>
      </c>
      <c r="M115" s="9">
        <v>11.46</v>
      </c>
      <c r="N115" s="9">
        <v>29.94</v>
      </c>
      <c r="O115" s="9">
        <v>22.5</v>
      </c>
      <c r="P115" s="11">
        <v>0</v>
      </c>
      <c r="Q115" s="9">
        <v>21.369989943955481</v>
      </c>
      <c r="R115" s="9">
        <v>23.89570262596261</v>
      </c>
      <c r="S115" s="9">
        <v>45125</v>
      </c>
      <c r="T115" s="9">
        <v>0</v>
      </c>
      <c r="U115" s="9">
        <v>18.100000000000001</v>
      </c>
      <c r="V115" s="9">
        <v>0</v>
      </c>
      <c r="W115" s="9">
        <v>0</v>
      </c>
      <c r="X115" s="9">
        <v>229397.93</v>
      </c>
      <c r="Y115" s="9">
        <v>649947.46</v>
      </c>
      <c r="Z115" s="9">
        <v>58.1</v>
      </c>
      <c r="AA115" s="9">
        <v>48.3</v>
      </c>
    </row>
    <row r="116" spans="1:27" x14ac:dyDescent="0.25">
      <c r="A116" s="12">
        <v>40298</v>
      </c>
      <c r="B116" s="9">
        <v>0</v>
      </c>
      <c r="C116" s="9">
        <v>119.994913</v>
      </c>
      <c r="D116" s="9">
        <v>119.93736199999999</v>
      </c>
      <c r="E116" s="9">
        <v>103.80000000000001</v>
      </c>
      <c r="F116" s="9">
        <v>13.1</v>
      </c>
      <c r="G116" s="9">
        <v>54.3</v>
      </c>
      <c r="H116" s="9">
        <v>18.5</v>
      </c>
      <c r="I116" s="9">
        <v>0</v>
      </c>
      <c r="J116" s="9">
        <v>2.8</v>
      </c>
      <c r="K116" s="9">
        <v>6.81</v>
      </c>
      <c r="L116" s="9">
        <v>2.8</v>
      </c>
      <c r="M116" s="9">
        <v>11.99</v>
      </c>
      <c r="N116" s="9">
        <v>31.249999999999996</v>
      </c>
      <c r="O116" s="9">
        <v>21.48</v>
      </c>
      <c r="P116" s="11">
        <v>0</v>
      </c>
      <c r="Q116" s="9">
        <v>21.16551174353642</v>
      </c>
      <c r="R116" s="9">
        <v>23.448016396065441</v>
      </c>
      <c r="S116" s="9">
        <v>60044</v>
      </c>
      <c r="T116" s="9">
        <v>0</v>
      </c>
      <c r="U116" s="9">
        <v>17.8</v>
      </c>
      <c r="V116" s="9">
        <v>0</v>
      </c>
      <c r="W116" s="9">
        <v>0</v>
      </c>
      <c r="X116" s="9">
        <v>233909.76000000001</v>
      </c>
      <c r="Y116" s="9">
        <v>656561.22</v>
      </c>
      <c r="Z116" s="9">
        <v>59.3</v>
      </c>
      <c r="AA116" s="9">
        <v>46.2</v>
      </c>
    </row>
    <row r="117" spans="1:27" x14ac:dyDescent="0.25">
      <c r="A117" s="12">
        <v>40329</v>
      </c>
      <c r="B117" s="9">
        <v>0</v>
      </c>
      <c r="C117" s="9">
        <v>116.89737100000001</v>
      </c>
      <c r="D117" s="9">
        <v>116.63909099999999</v>
      </c>
      <c r="E117" s="9">
        <v>103.3</v>
      </c>
      <c r="F117" s="9">
        <v>5</v>
      </c>
      <c r="G117" s="9">
        <v>54</v>
      </c>
      <c r="H117" s="9">
        <v>18.66</v>
      </c>
      <c r="I117" s="9">
        <v>0</v>
      </c>
      <c r="J117" s="9">
        <v>3.1</v>
      </c>
      <c r="K117" s="9">
        <v>7.13</v>
      </c>
      <c r="L117" s="9">
        <v>3.1</v>
      </c>
      <c r="M117" s="9">
        <v>12.21</v>
      </c>
      <c r="N117" s="9">
        <v>29.9</v>
      </c>
      <c r="O117" s="9">
        <v>21</v>
      </c>
      <c r="P117" s="11">
        <v>0</v>
      </c>
      <c r="Q117" s="9">
        <v>20.027918484806829</v>
      </c>
      <c r="R117" s="9">
        <v>22.428565604646579</v>
      </c>
      <c r="S117" s="9">
        <v>70849</v>
      </c>
      <c r="T117" s="9">
        <v>0</v>
      </c>
      <c r="U117" s="9">
        <v>16.5</v>
      </c>
      <c r="V117" s="9">
        <v>0</v>
      </c>
      <c r="W117" s="9">
        <v>0</v>
      </c>
      <c r="X117" s="9">
        <v>236497.88</v>
      </c>
      <c r="Y117" s="9">
        <v>663351.37</v>
      </c>
      <c r="Z117" s="9">
        <v>54.8</v>
      </c>
      <c r="AA117" s="9">
        <v>49.8</v>
      </c>
    </row>
    <row r="118" spans="1:27" x14ac:dyDescent="0.25">
      <c r="A118" s="12">
        <v>40359</v>
      </c>
      <c r="B118" s="9">
        <v>10.7</v>
      </c>
      <c r="C118" s="9">
        <v>111.321501</v>
      </c>
      <c r="D118" s="9">
        <v>110.996989</v>
      </c>
      <c r="E118" s="9">
        <v>102.6</v>
      </c>
      <c r="F118" s="9">
        <v>0.8</v>
      </c>
      <c r="G118" s="9">
        <v>54.5</v>
      </c>
      <c r="H118" s="9">
        <v>18.3</v>
      </c>
      <c r="I118" s="9">
        <v>6.9650999999999996</v>
      </c>
      <c r="J118" s="9">
        <v>2.9</v>
      </c>
      <c r="K118" s="9">
        <v>6.41</v>
      </c>
      <c r="L118" s="9">
        <v>2.7</v>
      </c>
      <c r="M118" s="9">
        <v>10.8</v>
      </c>
      <c r="N118" s="9">
        <v>24.56</v>
      </c>
      <c r="O118" s="9">
        <v>18.46</v>
      </c>
      <c r="P118" s="11">
        <v>0</v>
      </c>
      <c r="Q118" s="9">
        <v>18.135074759841359</v>
      </c>
      <c r="R118" s="9">
        <v>18.75663547437248</v>
      </c>
      <c r="S118" s="9">
        <v>81447</v>
      </c>
      <c r="T118" s="9">
        <v>0</v>
      </c>
      <c r="U118" s="9">
        <v>13.7</v>
      </c>
      <c r="V118" s="9">
        <v>0</v>
      </c>
      <c r="W118" s="9">
        <v>0</v>
      </c>
      <c r="X118" s="9">
        <v>240580.00000000003</v>
      </c>
      <c r="Y118" s="9">
        <v>673921.72</v>
      </c>
      <c r="Z118" s="9">
        <v>52.1</v>
      </c>
      <c r="AA118" s="9">
        <v>51.3</v>
      </c>
    </row>
    <row r="119" spans="1:27" x14ac:dyDescent="0.25">
      <c r="A119" s="12">
        <v>40390</v>
      </c>
      <c r="B119" s="9">
        <v>0</v>
      </c>
      <c r="C119" s="9">
        <v>109.989397</v>
      </c>
      <c r="D119" s="9">
        <v>109.643855</v>
      </c>
      <c r="E119" s="9">
        <v>102.1</v>
      </c>
      <c r="F119" s="9">
        <v>1</v>
      </c>
      <c r="G119" s="9">
        <v>53.2</v>
      </c>
      <c r="H119" s="9">
        <v>17.899999999999999</v>
      </c>
      <c r="I119" s="9">
        <v>0</v>
      </c>
      <c r="J119" s="9">
        <v>3.3</v>
      </c>
      <c r="K119" s="9">
        <v>4.84</v>
      </c>
      <c r="L119" s="9">
        <v>2.8</v>
      </c>
      <c r="M119" s="9">
        <v>8.48</v>
      </c>
      <c r="N119" s="9">
        <v>22.9</v>
      </c>
      <c r="O119" s="9">
        <v>17.600000000000001</v>
      </c>
      <c r="P119" s="11">
        <v>0</v>
      </c>
      <c r="Q119" s="9">
        <v>18.47817950450316</v>
      </c>
      <c r="R119" s="9">
        <v>18.312736600506181</v>
      </c>
      <c r="S119" s="9">
        <v>88649</v>
      </c>
      <c r="T119" s="9">
        <v>0</v>
      </c>
      <c r="U119" s="9">
        <v>13.4</v>
      </c>
      <c r="V119" s="9">
        <v>0</v>
      </c>
      <c r="W119" s="9">
        <v>0</v>
      </c>
      <c r="X119" s="9">
        <v>240664.07</v>
      </c>
      <c r="Y119" s="9">
        <v>674051.48</v>
      </c>
      <c r="Z119" s="9">
        <v>50.9</v>
      </c>
      <c r="AA119" s="9">
        <v>49.9</v>
      </c>
    </row>
    <row r="120" spans="1:27" x14ac:dyDescent="0.25">
      <c r="A120" s="12">
        <v>40421</v>
      </c>
      <c r="B120" s="9">
        <v>0</v>
      </c>
      <c r="C120" s="9">
        <v>111.433969</v>
      </c>
      <c r="D120" s="9">
        <v>110.914247</v>
      </c>
      <c r="E120" s="9">
        <v>101.79999999999998</v>
      </c>
      <c r="F120" s="9">
        <v>6.2</v>
      </c>
      <c r="G120" s="9">
        <v>54.4</v>
      </c>
      <c r="H120" s="9">
        <v>18.399999999999999</v>
      </c>
      <c r="I120" s="9">
        <v>0</v>
      </c>
      <c r="J120" s="9">
        <v>3.5</v>
      </c>
      <c r="K120" s="9">
        <v>4.32</v>
      </c>
      <c r="L120" s="9">
        <v>3</v>
      </c>
      <c r="M120" s="9">
        <v>7.47</v>
      </c>
      <c r="N120" s="9">
        <v>21.9</v>
      </c>
      <c r="O120" s="9">
        <v>19.2</v>
      </c>
      <c r="P120" s="11">
        <v>0</v>
      </c>
      <c r="Q120" s="9">
        <v>20.273429522752501</v>
      </c>
      <c r="R120" s="9">
        <v>18.501372695420589</v>
      </c>
      <c r="S120" s="9">
        <v>99295</v>
      </c>
      <c r="T120" s="9">
        <v>0</v>
      </c>
      <c r="U120" s="9">
        <v>13.9</v>
      </c>
      <c r="V120" s="9">
        <v>0</v>
      </c>
      <c r="W120" s="9">
        <v>0</v>
      </c>
      <c r="X120" s="9">
        <v>244340.63999999998</v>
      </c>
      <c r="Y120" s="9">
        <v>687506.91999999993</v>
      </c>
      <c r="Z120" s="9">
        <v>53.1</v>
      </c>
      <c r="AA120" s="9">
        <v>46.9</v>
      </c>
    </row>
    <row r="121" spans="1:27" x14ac:dyDescent="0.25">
      <c r="A121" s="12">
        <v>40451</v>
      </c>
      <c r="B121" s="9">
        <v>9.9</v>
      </c>
      <c r="C121" s="9">
        <v>108.29613999999999</v>
      </c>
      <c r="D121" s="9">
        <v>108.135295</v>
      </c>
      <c r="E121" s="9">
        <v>101.9</v>
      </c>
      <c r="F121" s="9">
        <v>11.3</v>
      </c>
      <c r="G121" s="9">
        <v>54.3</v>
      </c>
      <c r="H121" s="9">
        <v>18.84</v>
      </c>
      <c r="I121" s="9">
        <v>7.3925999999999998</v>
      </c>
      <c r="J121" s="9">
        <v>3.6</v>
      </c>
      <c r="K121" s="9">
        <v>4.33</v>
      </c>
      <c r="L121" s="9">
        <v>3</v>
      </c>
      <c r="M121" s="9">
        <v>7.1</v>
      </c>
      <c r="N121" s="9">
        <v>20.87</v>
      </c>
      <c r="O121" s="9">
        <v>18.96</v>
      </c>
      <c r="P121" s="11">
        <v>0</v>
      </c>
      <c r="Q121" s="9">
        <v>20.171287189481578</v>
      </c>
      <c r="R121" s="9">
        <v>18.06994110696477</v>
      </c>
      <c r="S121" s="9">
        <v>110600</v>
      </c>
      <c r="T121" s="9">
        <v>0</v>
      </c>
      <c r="U121" s="9">
        <v>13.3</v>
      </c>
      <c r="V121" s="9">
        <v>0</v>
      </c>
      <c r="W121" s="9">
        <v>0</v>
      </c>
      <c r="X121" s="9">
        <v>243821.90000000002</v>
      </c>
      <c r="Y121" s="9">
        <v>696471.5</v>
      </c>
      <c r="Z121" s="9">
        <v>56.3</v>
      </c>
      <c r="AA121" s="9">
        <v>45</v>
      </c>
    </row>
    <row r="122" spans="1:27" x14ac:dyDescent="0.25">
      <c r="A122" s="12">
        <v>40482</v>
      </c>
      <c r="B122" s="9">
        <v>0</v>
      </c>
      <c r="C122" s="9">
        <v>107.907804</v>
      </c>
      <c r="D122" s="9">
        <v>107.66677300000001</v>
      </c>
      <c r="E122" s="9">
        <v>102.4</v>
      </c>
      <c r="F122" s="9">
        <v>12.5</v>
      </c>
      <c r="G122" s="9">
        <v>54.8</v>
      </c>
      <c r="H122" s="9">
        <v>18.64</v>
      </c>
      <c r="I122" s="9">
        <v>0</v>
      </c>
      <c r="J122" s="9">
        <v>4.4000000000000004</v>
      </c>
      <c r="K122" s="9">
        <v>5.04</v>
      </c>
      <c r="L122" s="9">
        <v>3.9</v>
      </c>
      <c r="M122" s="9">
        <v>8.09</v>
      </c>
      <c r="N122" s="9">
        <v>22.1</v>
      </c>
      <c r="O122" s="9">
        <v>19.3</v>
      </c>
      <c r="P122" s="11">
        <v>0</v>
      </c>
      <c r="Q122" s="9">
        <v>20.566342006393501</v>
      </c>
      <c r="R122" s="9">
        <v>18.2603969774866</v>
      </c>
      <c r="S122" s="9">
        <v>119208</v>
      </c>
      <c r="T122" s="9">
        <v>0</v>
      </c>
      <c r="U122" s="9">
        <v>13.1</v>
      </c>
      <c r="V122" s="9">
        <v>0</v>
      </c>
      <c r="W122" s="9">
        <v>0</v>
      </c>
      <c r="X122" s="9">
        <v>253313.17</v>
      </c>
      <c r="Y122" s="9">
        <v>699776.73999999987</v>
      </c>
      <c r="Z122" s="9">
        <v>58.2</v>
      </c>
      <c r="AA122" s="9">
        <v>45.7</v>
      </c>
    </row>
    <row r="123" spans="1:27" x14ac:dyDescent="0.25">
      <c r="A123" s="12">
        <v>40512</v>
      </c>
      <c r="B123" s="9">
        <v>0</v>
      </c>
      <c r="C123" s="9">
        <v>109.092196</v>
      </c>
      <c r="D123" s="9">
        <v>108.851697</v>
      </c>
      <c r="E123" s="9">
        <v>102.8</v>
      </c>
      <c r="F123" s="9">
        <v>10.6</v>
      </c>
      <c r="G123" s="9">
        <v>54.6</v>
      </c>
      <c r="H123" s="9">
        <v>18.7</v>
      </c>
      <c r="I123" s="9">
        <v>0</v>
      </c>
      <c r="J123" s="9">
        <v>5.0999999999999996</v>
      </c>
      <c r="K123" s="9">
        <v>6.06</v>
      </c>
      <c r="L123" s="9">
        <v>4.7</v>
      </c>
      <c r="M123" s="9">
        <v>9.6999999999999993</v>
      </c>
      <c r="N123" s="9">
        <v>22.1</v>
      </c>
      <c r="O123" s="9">
        <v>19.5</v>
      </c>
      <c r="P123" s="11">
        <v>0</v>
      </c>
      <c r="Q123" s="9">
        <v>19.914153770555881</v>
      </c>
      <c r="R123" s="9">
        <v>18.156466226562578</v>
      </c>
      <c r="S123" s="9">
        <v>129762</v>
      </c>
      <c r="T123" s="9">
        <v>0</v>
      </c>
      <c r="U123" s="9">
        <v>13.3</v>
      </c>
      <c r="V123" s="9">
        <v>0</v>
      </c>
      <c r="W123" s="9">
        <v>0</v>
      </c>
      <c r="X123" s="9">
        <v>259420.32</v>
      </c>
      <c r="Y123" s="9">
        <v>710339.02999999991</v>
      </c>
      <c r="Z123" s="9">
        <v>58.3</v>
      </c>
      <c r="AA123" s="9">
        <v>47.7</v>
      </c>
    </row>
    <row r="124" spans="1:27" x14ac:dyDescent="0.25">
      <c r="A124" s="12">
        <v>40543</v>
      </c>
      <c r="B124" s="9">
        <v>9.9</v>
      </c>
      <c r="C124" s="9">
        <v>107.179284</v>
      </c>
      <c r="D124" s="9">
        <v>107.016755</v>
      </c>
      <c r="E124" s="9">
        <v>103.6</v>
      </c>
      <c r="F124" s="9">
        <v>6.7</v>
      </c>
      <c r="G124" s="9">
        <v>55</v>
      </c>
      <c r="H124" s="9">
        <v>19.100000000000001</v>
      </c>
      <c r="I124" s="9">
        <v>7.7519999999999998</v>
      </c>
      <c r="J124" s="9">
        <v>4.5999999999999996</v>
      </c>
      <c r="K124" s="9">
        <v>5.93</v>
      </c>
      <c r="L124" s="9">
        <v>4.0999999999999996</v>
      </c>
      <c r="M124" s="9">
        <v>9.4700000000000006</v>
      </c>
      <c r="N124" s="9">
        <v>21.19</v>
      </c>
      <c r="O124" s="9">
        <v>19.72</v>
      </c>
      <c r="P124" s="11">
        <v>27</v>
      </c>
      <c r="Q124" s="9">
        <v>18.74379258688268</v>
      </c>
      <c r="R124" s="9">
        <v>18.145748016745749</v>
      </c>
      <c r="S124" s="9">
        <v>140191</v>
      </c>
      <c r="T124" s="9">
        <v>64.986900000000006</v>
      </c>
      <c r="U124" s="9">
        <v>13.5</v>
      </c>
      <c r="V124" s="9">
        <v>0</v>
      </c>
      <c r="W124" s="9">
        <v>0</v>
      </c>
      <c r="X124" s="9">
        <v>266621.54000000004</v>
      </c>
      <c r="Y124" s="9">
        <v>725851.78999999992</v>
      </c>
      <c r="Z124" s="9">
        <v>55.4</v>
      </c>
      <c r="AA124" s="9">
        <v>48.7</v>
      </c>
    </row>
    <row r="125" spans="1:27" x14ac:dyDescent="0.25">
      <c r="A125" s="12">
        <v>40574</v>
      </c>
      <c r="B125" s="9">
        <v>0</v>
      </c>
      <c r="C125" s="9">
        <v>115.08621599999999</v>
      </c>
      <c r="D125" s="9">
        <v>116.450902</v>
      </c>
      <c r="E125" s="9">
        <v>102.8</v>
      </c>
      <c r="F125" s="9">
        <v>7</v>
      </c>
      <c r="G125" s="9">
        <v>53.9</v>
      </c>
      <c r="H125" s="9">
        <v>19.899999999999999</v>
      </c>
      <c r="I125" s="9">
        <v>0</v>
      </c>
      <c r="J125" s="9">
        <v>4.9000000000000004</v>
      </c>
      <c r="K125" s="9">
        <v>6.6</v>
      </c>
      <c r="L125" s="9">
        <v>3.7</v>
      </c>
      <c r="M125" s="9">
        <v>9.68</v>
      </c>
      <c r="N125" s="9">
        <v>13.6</v>
      </c>
      <c r="O125" s="9">
        <v>17.2</v>
      </c>
      <c r="P125" s="11">
        <v>0</v>
      </c>
      <c r="Q125" s="9">
        <v>16.459842031788071</v>
      </c>
      <c r="R125" s="9">
        <v>15.165859205502469</v>
      </c>
      <c r="S125" s="9">
        <v>17560</v>
      </c>
      <c r="T125" s="9">
        <v>0</v>
      </c>
      <c r="U125" s="9">
        <v>13.3</v>
      </c>
      <c r="V125" s="9">
        <v>0</v>
      </c>
      <c r="W125" s="9">
        <v>98.3</v>
      </c>
      <c r="X125" s="9">
        <v>261765.01</v>
      </c>
      <c r="Y125" s="9">
        <v>733884.83</v>
      </c>
      <c r="Z125" s="9">
        <v>54.9</v>
      </c>
      <c r="AA125" s="9">
        <v>47.9</v>
      </c>
    </row>
    <row r="126" spans="1:27" x14ac:dyDescent="0.25">
      <c r="A126" s="12">
        <v>40602</v>
      </c>
      <c r="B126" s="9">
        <v>0</v>
      </c>
      <c r="C126" s="9">
        <v>117.28294200000001</v>
      </c>
      <c r="D126" s="9">
        <v>116.930519</v>
      </c>
      <c r="E126" s="9">
        <v>103.00000000000001</v>
      </c>
      <c r="F126" s="9">
        <v>7.9</v>
      </c>
      <c r="G126" s="9">
        <v>54.1</v>
      </c>
      <c r="H126" s="9">
        <v>11.6</v>
      </c>
      <c r="I126" s="9">
        <v>0</v>
      </c>
      <c r="J126" s="9">
        <v>4.944</v>
      </c>
      <c r="K126" s="9">
        <v>7.23</v>
      </c>
      <c r="L126" s="9">
        <v>4.3</v>
      </c>
      <c r="M126" s="9">
        <v>10.38</v>
      </c>
      <c r="N126" s="9">
        <v>14.5</v>
      </c>
      <c r="O126" s="9">
        <v>15.7</v>
      </c>
      <c r="P126" s="11">
        <v>0</v>
      </c>
      <c r="Q126" s="9">
        <v>17.42789780677321</v>
      </c>
      <c r="R126" s="9">
        <v>14.792317803949819</v>
      </c>
      <c r="S126" s="9">
        <v>24028</v>
      </c>
      <c r="T126" s="9">
        <v>0</v>
      </c>
      <c r="U126" s="9">
        <v>14.9</v>
      </c>
      <c r="V126" s="9">
        <v>0.93</v>
      </c>
      <c r="W126" s="9">
        <v>84.6</v>
      </c>
      <c r="X126" s="9">
        <v>259200.49999999997</v>
      </c>
      <c r="Y126" s="9">
        <v>736130.86</v>
      </c>
      <c r="Z126" s="9">
        <v>54.3</v>
      </c>
      <c r="AA126" s="9">
        <v>46.4</v>
      </c>
    </row>
    <row r="127" spans="1:27" x14ac:dyDescent="0.25">
      <c r="A127" s="12">
        <v>40633</v>
      </c>
      <c r="B127" s="9">
        <v>10.1</v>
      </c>
      <c r="C127" s="9">
        <v>116.302772</v>
      </c>
      <c r="D127" s="9">
        <v>116.161018</v>
      </c>
      <c r="E127" s="9">
        <v>102.5</v>
      </c>
      <c r="F127" s="9">
        <v>3.9</v>
      </c>
      <c r="G127" s="9">
        <v>54.4</v>
      </c>
      <c r="H127" s="9">
        <v>17.399999999999999</v>
      </c>
      <c r="I127" s="9">
        <v>8.3764000000000003</v>
      </c>
      <c r="J127" s="9">
        <v>5.383</v>
      </c>
      <c r="K127" s="9">
        <v>7.31</v>
      </c>
      <c r="L127" s="9">
        <v>4.5999999999999996</v>
      </c>
      <c r="M127" s="9">
        <v>10.53</v>
      </c>
      <c r="N127" s="9">
        <v>15</v>
      </c>
      <c r="O127" s="9">
        <v>16.600000000000001</v>
      </c>
      <c r="P127" s="11">
        <v>0</v>
      </c>
      <c r="Q127" s="9">
        <v>17.25859291666438</v>
      </c>
      <c r="R127" s="9">
        <v>14.6672386025948</v>
      </c>
      <c r="S127" s="9">
        <v>41900</v>
      </c>
      <c r="T127" s="9">
        <v>0</v>
      </c>
      <c r="U127" s="9">
        <v>14.8</v>
      </c>
      <c r="V127" s="9">
        <v>0.99</v>
      </c>
      <c r="W127" s="9">
        <v>112.5</v>
      </c>
      <c r="X127" s="9">
        <v>266255.48</v>
      </c>
      <c r="Y127" s="9">
        <v>758130.88</v>
      </c>
      <c r="Z127" s="9">
        <v>55.2</v>
      </c>
      <c r="AA127" s="9">
        <v>51.3</v>
      </c>
    </row>
    <row r="128" spans="1:27" x14ac:dyDescent="0.25">
      <c r="A128" s="12">
        <v>40663</v>
      </c>
      <c r="B128" s="9">
        <v>0</v>
      </c>
      <c r="C128" s="9">
        <v>113.74119</v>
      </c>
      <c r="D128" s="9">
        <v>113.91226</v>
      </c>
      <c r="E128" s="9">
        <v>103.10000000000001</v>
      </c>
      <c r="F128" s="9">
        <v>3</v>
      </c>
      <c r="G128" s="9">
        <v>54.4</v>
      </c>
      <c r="H128" s="9">
        <v>17.100000000000001</v>
      </c>
      <c r="I128" s="9">
        <v>0</v>
      </c>
      <c r="J128" s="9">
        <v>5.3440000000000003</v>
      </c>
      <c r="K128" s="9">
        <v>6.82</v>
      </c>
      <c r="L128" s="9">
        <v>4.7</v>
      </c>
      <c r="M128" s="9">
        <v>10.42</v>
      </c>
      <c r="N128" s="9">
        <v>12.9</v>
      </c>
      <c r="O128" s="9">
        <v>15.3</v>
      </c>
      <c r="P128" s="11">
        <v>0</v>
      </c>
      <c r="Q128" s="9">
        <v>15.965066324153391</v>
      </c>
      <c r="R128" s="9">
        <v>14.1601678365263</v>
      </c>
      <c r="S128" s="9">
        <v>55573</v>
      </c>
      <c r="T128" s="9">
        <v>0</v>
      </c>
      <c r="U128" s="9">
        <v>13.4</v>
      </c>
      <c r="V128" s="9">
        <v>1.32</v>
      </c>
      <c r="W128" s="9">
        <v>106.4</v>
      </c>
      <c r="X128" s="9">
        <v>266766.90999999997</v>
      </c>
      <c r="Y128" s="9">
        <v>757384.55999999994</v>
      </c>
      <c r="Z128" s="9">
        <v>53.8</v>
      </c>
      <c r="AA128" s="9">
        <v>50.8</v>
      </c>
    </row>
    <row r="129" spans="1:27" x14ac:dyDescent="0.25">
      <c r="A129" s="12">
        <v>40694</v>
      </c>
      <c r="B129" s="9">
        <v>0</v>
      </c>
      <c r="C129" s="9">
        <v>115.31377999999999</v>
      </c>
      <c r="D129" s="9">
        <v>115.500777</v>
      </c>
      <c r="E129" s="9">
        <v>102.89999999999999</v>
      </c>
      <c r="F129" s="9">
        <v>2.1</v>
      </c>
      <c r="G129" s="9">
        <v>54.6</v>
      </c>
      <c r="H129" s="9">
        <v>16.899999999999999</v>
      </c>
      <c r="I129" s="9">
        <v>0</v>
      </c>
      <c r="J129" s="9">
        <v>5.5149999999999997</v>
      </c>
      <c r="K129" s="9">
        <v>6.79</v>
      </c>
      <c r="L129" s="9">
        <v>4.9000000000000004</v>
      </c>
      <c r="M129" s="9">
        <v>10.18</v>
      </c>
      <c r="N129" s="9">
        <v>12.7</v>
      </c>
      <c r="O129" s="9">
        <v>15.1</v>
      </c>
      <c r="P129" s="11">
        <v>0</v>
      </c>
      <c r="Q129" s="9">
        <v>15.91773366360813</v>
      </c>
      <c r="R129" s="9">
        <v>13.85666004958264</v>
      </c>
      <c r="S129" s="9">
        <v>66427</v>
      </c>
      <c r="T129" s="9">
        <v>0</v>
      </c>
      <c r="U129" s="9">
        <v>13.3</v>
      </c>
      <c r="V129" s="9">
        <v>0.79</v>
      </c>
      <c r="W129" s="9">
        <v>110.9</v>
      </c>
      <c r="X129" s="9">
        <v>269289.63</v>
      </c>
      <c r="Y129" s="9">
        <v>763409.22</v>
      </c>
      <c r="Z129" s="9">
        <v>52.1</v>
      </c>
      <c r="AA129" s="9">
        <v>50</v>
      </c>
    </row>
    <row r="130" spans="1:27" x14ac:dyDescent="0.25">
      <c r="A130" s="12">
        <v>40724</v>
      </c>
      <c r="B130" s="9">
        <v>9.9</v>
      </c>
      <c r="C130" s="9">
        <v>115.876248</v>
      </c>
      <c r="D130" s="9">
        <v>115.526397</v>
      </c>
      <c r="E130" s="9">
        <v>102.89999999999999</v>
      </c>
      <c r="F130" s="9">
        <v>-0.2</v>
      </c>
      <c r="G130" s="9">
        <v>53.5</v>
      </c>
      <c r="H130" s="9">
        <v>17.7</v>
      </c>
      <c r="I130" s="9">
        <v>8.8492999999999995</v>
      </c>
      <c r="J130" s="9">
        <v>6.3550000000000004</v>
      </c>
      <c r="K130" s="9">
        <v>7.12</v>
      </c>
      <c r="L130" s="9">
        <v>5.8</v>
      </c>
      <c r="M130" s="9">
        <v>10.55</v>
      </c>
      <c r="N130" s="9">
        <v>13.1</v>
      </c>
      <c r="O130" s="9">
        <v>15.9</v>
      </c>
      <c r="P130" s="11">
        <v>0</v>
      </c>
      <c r="Q130" s="9">
        <v>18.45668229720696</v>
      </c>
      <c r="R130" s="9">
        <v>13.91521118944452</v>
      </c>
      <c r="S130" s="9">
        <v>77600</v>
      </c>
      <c r="T130" s="9">
        <v>0</v>
      </c>
      <c r="U130" s="9">
        <v>15.1</v>
      </c>
      <c r="V130" s="9">
        <v>1.3</v>
      </c>
      <c r="W130" s="9">
        <v>123.3</v>
      </c>
      <c r="X130" s="9">
        <v>274662.57</v>
      </c>
      <c r="Y130" s="9">
        <v>780820.85000000009</v>
      </c>
      <c r="Z130" s="9">
        <v>50.8</v>
      </c>
      <c r="AA130" s="9">
        <v>51</v>
      </c>
    </row>
    <row r="131" spans="1:27" x14ac:dyDescent="0.25">
      <c r="A131" s="12">
        <v>40755</v>
      </c>
      <c r="B131" s="9">
        <v>0</v>
      </c>
      <c r="C131" s="9">
        <v>115.38390099999999</v>
      </c>
      <c r="D131" s="9">
        <v>115.7058</v>
      </c>
      <c r="E131" s="9">
        <v>102.89999999999999</v>
      </c>
      <c r="F131" s="9">
        <v>1.9</v>
      </c>
      <c r="G131" s="9">
        <v>53.9</v>
      </c>
      <c r="H131" s="9">
        <v>17.2</v>
      </c>
      <c r="I131" s="9">
        <v>0</v>
      </c>
      <c r="J131" s="9">
        <v>6.4509999999999996</v>
      </c>
      <c r="K131" s="9">
        <v>7.54</v>
      </c>
      <c r="L131" s="9">
        <v>6.1</v>
      </c>
      <c r="M131" s="9">
        <v>10.98</v>
      </c>
      <c r="N131" s="9">
        <v>11.6</v>
      </c>
      <c r="O131" s="9">
        <v>14.7</v>
      </c>
      <c r="P131" s="11">
        <v>0</v>
      </c>
      <c r="Q131" s="9">
        <v>16.867135671032319</v>
      </c>
      <c r="R131" s="9">
        <v>13.796584239403851</v>
      </c>
      <c r="S131" s="9">
        <v>82993</v>
      </c>
      <c r="T131" s="9">
        <v>0</v>
      </c>
      <c r="U131" s="9">
        <v>14</v>
      </c>
      <c r="V131" s="9">
        <v>0.82</v>
      </c>
      <c r="W131" s="9">
        <v>112.7</v>
      </c>
      <c r="X131" s="9">
        <v>270545.64999999997</v>
      </c>
      <c r="Y131" s="9">
        <v>772923.64999999991</v>
      </c>
      <c r="Z131" s="9">
        <v>51.1</v>
      </c>
      <c r="AA131" s="9">
        <v>49.2</v>
      </c>
    </row>
    <row r="132" spans="1:27" x14ac:dyDescent="0.25">
      <c r="A132" s="12">
        <v>40786</v>
      </c>
      <c r="B132" s="9">
        <v>0</v>
      </c>
      <c r="C132" s="9">
        <v>114.26337599999999</v>
      </c>
      <c r="D132" s="9">
        <v>114.087642</v>
      </c>
      <c r="E132" s="9">
        <v>102.7</v>
      </c>
      <c r="F132" s="9">
        <v>2.2000000000000002</v>
      </c>
      <c r="G132" s="9">
        <v>53.9</v>
      </c>
      <c r="H132" s="9">
        <v>17</v>
      </c>
      <c r="I132" s="9">
        <v>0</v>
      </c>
      <c r="J132" s="9">
        <v>6.1509999999999998</v>
      </c>
      <c r="K132" s="9">
        <v>7.25</v>
      </c>
      <c r="L132" s="9">
        <v>6</v>
      </c>
      <c r="M132" s="9">
        <v>10.63</v>
      </c>
      <c r="N132" s="9">
        <v>11.2</v>
      </c>
      <c r="O132" s="9">
        <v>13.5</v>
      </c>
      <c r="P132" s="11">
        <v>0</v>
      </c>
      <c r="Q132" s="9">
        <v>15.748081187687021</v>
      </c>
      <c r="R132" s="9">
        <v>13.40328449213399</v>
      </c>
      <c r="S132" s="9">
        <v>93734</v>
      </c>
      <c r="T132" s="9">
        <v>0</v>
      </c>
      <c r="U132" s="9">
        <v>13.5</v>
      </c>
      <c r="V132" s="9">
        <v>0.85</v>
      </c>
      <c r="W132" s="9">
        <v>114.9</v>
      </c>
      <c r="X132" s="9">
        <v>273393.76999999996</v>
      </c>
      <c r="Y132" s="9">
        <v>780852.29999999993</v>
      </c>
      <c r="Z132" s="9">
        <v>51.1</v>
      </c>
      <c r="AA132" s="9">
        <v>48.9</v>
      </c>
    </row>
    <row r="133" spans="1:27" x14ac:dyDescent="0.25">
      <c r="A133" s="12">
        <v>40816</v>
      </c>
      <c r="B133" s="9">
        <v>9.3000000000000007</v>
      </c>
      <c r="C133" s="9">
        <v>112.950518</v>
      </c>
      <c r="D133" s="9">
        <v>112.795153</v>
      </c>
      <c r="E133" s="9">
        <v>102.5</v>
      </c>
      <c r="F133" s="9">
        <v>1.4</v>
      </c>
      <c r="G133" s="9">
        <v>50.2</v>
      </c>
      <c r="H133" s="9">
        <v>17.7</v>
      </c>
      <c r="I133" s="9">
        <v>9.2548999999999992</v>
      </c>
      <c r="J133" s="9">
        <v>6.0670000000000002</v>
      </c>
      <c r="K133" s="9">
        <v>6.52</v>
      </c>
      <c r="L133" s="9">
        <v>6</v>
      </c>
      <c r="M133" s="9">
        <v>9.9600000000000009</v>
      </c>
      <c r="N133" s="9">
        <v>8.9</v>
      </c>
      <c r="O133" s="9">
        <v>13</v>
      </c>
      <c r="P133" s="11">
        <v>0</v>
      </c>
      <c r="Q133" s="9">
        <v>15.57058283450961</v>
      </c>
      <c r="R133" s="9">
        <v>13.18714568815775</v>
      </c>
      <c r="S133" s="9">
        <v>98000</v>
      </c>
      <c r="T133" s="9">
        <v>0</v>
      </c>
      <c r="U133" s="9">
        <v>13.8</v>
      </c>
      <c r="V133" s="9">
        <v>0.95</v>
      </c>
      <c r="W133" s="9">
        <v>122.7</v>
      </c>
      <c r="X133" s="9">
        <v>267193.15999999997</v>
      </c>
      <c r="Y133" s="9">
        <v>787406.2</v>
      </c>
      <c r="Z133" s="9">
        <v>51.3</v>
      </c>
      <c r="AA133" s="9">
        <v>49.9</v>
      </c>
    </row>
    <row r="134" spans="1:27" x14ac:dyDescent="0.25">
      <c r="A134" s="12">
        <v>40847</v>
      </c>
      <c r="B134" s="9">
        <v>0</v>
      </c>
      <c r="C134" s="9">
        <v>114.946134</v>
      </c>
      <c r="D134" s="9">
        <v>113.65988299999999</v>
      </c>
      <c r="E134" s="9">
        <v>102</v>
      </c>
      <c r="F134" s="9">
        <v>0.2</v>
      </c>
      <c r="G134" s="9">
        <v>51.1</v>
      </c>
      <c r="H134" s="9">
        <v>17.2</v>
      </c>
      <c r="I134" s="9">
        <v>0</v>
      </c>
      <c r="J134" s="9">
        <v>5.4950000000000001</v>
      </c>
      <c r="K134" s="9">
        <v>5</v>
      </c>
      <c r="L134" s="9">
        <v>5.3</v>
      </c>
      <c r="M134" s="9">
        <v>8.0399999999999991</v>
      </c>
      <c r="N134" s="9">
        <v>8.4</v>
      </c>
      <c r="O134" s="9">
        <v>12.9</v>
      </c>
      <c r="P134" s="11">
        <v>0</v>
      </c>
      <c r="Q134" s="9">
        <v>14.953139362326571</v>
      </c>
      <c r="R134" s="9">
        <v>13.27574612492637</v>
      </c>
      <c r="S134" s="9">
        <v>105908</v>
      </c>
      <c r="T134" s="9">
        <v>0</v>
      </c>
      <c r="U134" s="9">
        <v>13.2</v>
      </c>
      <c r="V134" s="9">
        <v>0.71</v>
      </c>
      <c r="W134" s="9">
        <v>119.2</v>
      </c>
      <c r="X134" s="9">
        <v>276552.67</v>
      </c>
      <c r="Y134" s="9">
        <v>816829.25</v>
      </c>
      <c r="Z134" s="9">
        <v>50.5</v>
      </c>
      <c r="AA134" s="9">
        <v>50.3</v>
      </c>
    </row>
    <row r="135" spans="1:27" x14ac:dyDescent="0.25">
      <c r="A135" s="12">
        <v>40877</v>
      </c>
      <c r="B135" s="9">
        <v>0</v>
      </c>
      <c r="C135" s="9">
        <v>112.72223099999999</v>
      </c>
      <c r="D135" s="9">
        <v>111.88785</v>
      </c>
      <c r="E135" s="9">
        <v>100.89999999999999</v>
      </c>
      <c r="F135" s="9">
        <v>-5.3</v>
      </c>
      <c r="G135" s="9">
        <v>51.4</v>
      </c>
      <c r="H135" s="9">
        <v>17.3</v>
      </c>
      <c r="I135" s="9">
        <v>0</v>
      </c>
      <c r="J135" s="9">
        <v>4.2249999999999996</v>
      </c>
      <c r="K135" s="9">
        <v>2.72</v>
      </c>
      <c r="L135" s="9">
        <v>4</v>
      </c>
      <c r="M135" s="9">
        <v>5.0599999999999996</v>
      </c>
      <c r="N135" s="9">
        <v>7.8</v>
      </c>
      <c r="O135" s="9">
        <v>12.7</v>
      </c>
      <c r="P135" s="11">
        <v>0</v>
      </c>
      <c r="Q135" s="9">
        <v>15.62212851530162</v>
      </c>
      <c r="R135" s="9">
        <v>13.141304747388419</v>
      </c>
      <c r="S135" s="9">
        <v>115489</v>
      </c>
      <c r="T135" s="9">
        <v>0</v>
      </c>
      <c r="U135" s="9">
        <v>12.4</v>
      </c>
      <c r="V135" s="9">
        <v>0.68</v>
      </c>
      <c r="W135" s="9">
        <v>124.8</v>
      </c>
      <c r="X135" s="9">
        <v>281416.37</v>
      </c>
      <c r="Y135" s="9">
        <v>825493.94000000006</v>
      </c>
      <c r="Z135" s="9">
        <v>47.8</v>
      </c>
      <c r="AA135" s="9">
        <v>53.1</v>
      </c>
    </row>
    <row r="136" spans="1:27" x14ac:dyDescent="0.25">
      <c r="A136" s="12">
        <v>40908</v>
      </c>
      <c r="B136" s="9">
        <v>8.6999999999999993</v>
      </c>
      <c r="C136" s="9">
        <v>110.99029899999999</v>
      </c>
      <c r="D136" s="9">
        <v>111.179507</v>
      </c>
      <c r="E136" s="9">
        <v>99.3</v>
      </c>
      <c r="F136" s="9">
        <v>-0.8</v>
      </c>
      <c r="G136" s="9">
        <v>51.4</v>
      </c>
      <c r="H136" s="9">
        <v>18.100000000000001</v>
      </c>
      <c r="I136" s="9">
        <v>6.4009999999999998</v>
      </c>
      <c r="J136" s="9">
        <v>4.07</v>
      </c>
      <c r="K136" s="9">
        <v>1.69</v>
      </c>
      <c r="L136" s="9">
        <v>3.8</v>
      </c>
      <c r="M136" s="9">
        <v>3.45</v>
      </c>
      <c r="N136" s="9">
        <v>7.9</v>
      </c>
      <c r="O136" s="9">
        <v>13.6</v>
      </c>
      <c r="P136" s="9">
        <v>18.2</v>
      </c>
      <c r="Q136" s="9">
        <v>18.329539118216939</v>
      </c>
      <c r="R136" s="9">
        <v>13.43534279766086</v>
      </c>
      <c r="S136" s="9">
        <v>128286</v>
      </c>
      <c r="T136" s="9">
        <v>76.747799999999998</v>
      </c>
      <c r="U136" s="9">
        <v>12.8</v>
      </c>
      <c r="V136" s="9">
        <v>0.94</v>
      </c>
      <c r="W136" s="9">
        <v>133.9</v>
      </c>
      <c r="X136" s="9">
        <v>289847.7</v>
      </c>
      <c r="Y136" s="9">
        <v>851590.9</v>
      </c>
      <c r="Z136" s="9">
        <v>49.8</v>
      </c>
      <c r="AA136" s="9">
        <v>50.6</v>
      </c>
    </row>
    <row r="137" spans="1:27" x14ac:dyDescent="0.25">
      <c r="A137" s="12">
        <v>40939</v>
      </c>
      <c r="B137" s="9">
        <v>0</v>
      </c>
      <c r="C137" s="9">
        <v>107.324878</v>
      </c>
      <c r="D137" s="9">
        <v>107.750899</v>
      </c>
      <c r="E137" s="9">
        <v>98.6</v>
      </c>
      <c r="F137" s="9">
        <v>2.4</v>
      </c>
      <c r="G137" s="9">
        <v>52.2</v>
      </c>
      <c r="H137" s="9">
        <v>13.1</v>
      </c>
      <c r="I137" s="9">
        <v>0</v>
      </c>
      <c r="J137" s="9">
        <v>4.5</v>
      </c>
      <c r="K137" s="9">
        <v>0.73</v>
      </c>
      <c r="L137" s="9">
        <v>4.0999999999999996</v>
      </c>
      <c r="M137" s="9">
        <v>2</v>
      </c>
      <c r="N137" s="9">
        <v>3.1</v>
      </c>
      <c r="O137" s="9">
        <v>12.4</v>
      </c>
      <c r="P137" s="9">
        <v>0</v>
      </c>
      <c r="Q137" s="9">
        <v>17.89151988011395</v>
      </c>
      <c r="R137" s="9">
        <v>15.17853694381872</v>
      </c>
      <c r="S137" s="9">
        <v>9754</v>
      </c>
      <c r="T137" s="9">
        <v>0</v>
      </c>
      <c r="U137" s="9">
        <v>2.8</v>
      </c>
      <c r="V137" s="9">
        <v>0.5</v>
      </c>
      <c r="W137" s="9">
        <v>101.1</v>
      </c>
      <c r="X137" s="9">
        <v>270010.40000000002</v>
      </c>
      <c r="Y137" s="9">
        <v>855898.89</v>
      </c>
      <c r="Z137" s="9">
        <v>50.4</v>
      </c>
      <c r="AA137" s="9">
        <v>48</v>
      </c>
    </row>
    <row r="138" spans="1:27" x14ac:dyDescent="0.25">
      <c r="A138" s="12">
        <v>40968</v>
      </c>
      <c r="B138" s="9">
        <v>0</v>
      </c>
      <c r="C138" s="9">
        <v>106.68612</v>
      </c>
      <c r="D138" s="9">
        <v>106.678427</v>
      </c>
      <c r="E138" s="9">
        <v>98.8</v>
      </c>
      <c r="F138" s="9">
        <v>0.5</v>
      </c>
      <c r="G138" s="9">
        <v>52.7</v>
      </c>
      <c r="H138" s="9">
        <v>16.399999999999999</v>
      </c>
      <c r="I138" s="9">
        <v>0</v>
      </c>
      <c r="J138" s="9">
        <v>3.2</v>
      </c>
      <c r="K138" s="9">
        <v>0.03</v>
      </c>
      <c r="L138" s="9">
        <v>2.9</v>
      </c>
      <c r="M138" s="9">
        <v>0.99</v>
      </c>
      <c r="N138" s="9">
        <v>4.3</v>
      </c>
      <c r="O138" s="9">
        <v>13</v>
      </c>
      <c r="P138" s="9">
        <v>0</v>
      </c>
      <c r="Q138" s="9">
        <v>17.81772888305597</v>
      </c>
      <c r="R138" s="9">
        <v>15.63693246282244</v>
      </c>
      <c r="S138" s="9">
        <v>20185</v>
      </c>
      <c r="T138" s="9">
        <v>0</v>
      </c>
      <c r="U138" s="9">
        <v>21.3</v>
      </c>
      <c r="V138" s="9">
        <v>0.61</v>
      </c>
      <c r="W138" s="9">
        <v>102.6</v>
      </c>
      <c r="X138" s="9">
        <v>270312.11</v>
      </c>
      <c r="Y138" s="9">
        <v>867171.42</v>
      </c>
      <c r="Z138" s="9">
        <v>51</v>
      </c>
      <c r="AA138" s="9">
        <v>50.5</v>
      </c>
    </row>
    <row r="139" spans="1:27" x14ac:dyDescent="0.25">
      <c r="A139" s="12">
        <v>40999</v>
      </c>
      <c r="B139" s="9">
        <v>8.1</v>
      </c>
      <c r="C139" s="9">
        <v>106.234855</v>
      </c>
      <c r="D139" s="9">
        <v>107.10920299999999</v>
      </c>
      <c r="E139" s="9">
        <v>98.6</v>
      </c>
      <c r="F139" s="9">
        <v>4.3</v>
      </c>
      <c r="G139" s="9">
        <v>53.5</v>
      </c>
      <c r="H139" s="9">
        <v>15.2</v>
      </c>
      <c r="I139" s="9">
        <v>3.9575</v>
      </c>
      <c r="J139" s="9">
        <v>3.6</v>
      </c>
      <c r="K139" s="9">
        <v>-0.32</v>
      </c>
      <c r="L139" s="9">
        <v>3.5</v>
      </c>
      <c r="M139" s="9">
        <v>0.12</v>
      </c>
      <c r="N139" s="9">
        <v>4.4000000000000004</v>
      </c>
      <c r="O139" s="9">
        <v>13.4</v>
      </c>
      <c r="P139" s="9">
        <v>0</v>
      </c>
      <c r="Q139" s="9">
        <v>18.835046463196012</v>
      </c>
      <c r="R139" s="9">
        <v>16.352828655971361</v>
      </c>
      <c r="S139" s="9">
        <v>38888.856349000002</v>
      </c>
      <c r="T139" s="9">
        <v>0</v>
      </c>
      <c r="U139" s="9">
        <v>11.9</v>
      </c>
      <c r="V139" s="9">
        <v>1.25</v>
      </c>
      <c r="W139" s="9">
        <v>125.9</v>
      </c>
      <c r="X139" s="9">
        <v>277998.11</v>
      </c>
      <c r="Y139" s="9">
        <v>895565.50000000012</v>
      </c>
      <c r="Z139" s="9">
        <v>55.1</v>
      </c>
      <c r="AA139" s="9">
        <v>50.8</v>
      </c>
    </row>
    <row r="140" spans="1:27" x14ac:dyDescent="0.25">
      <c r="A140" s="12">
        <v>41029</v>
      </c>
      <c r="B140" s="9">
        <v>0</v>
      </c>
      <c r="C140" s="9">
        <v>105.87715799999999</v>
      </c>
      <c r="D140" s="9">
        <v>105.460596</v>
      </c>
      <c r="E140" s="9">
        <v>97.9</v>
      </c>
      <c r="F140" s="9">
        <v>5</v>
      </c>
      <c r="G140" s="9">
        <v>52.7</v>
      </c>
      <c r="H140" s="9">
        <v>14.1</v>
      </c>
      <c r="I140" s="9">
        <v>0</v>
      </c>
      <c r="J140" s="9">
        <v>3.4</v>
      </c>
      <c r="K140" s="9">
        <v>-0.7</v>
      </c>
      <c r="L140" s="9">
        <v>3.1</v>
      </c>
      <c r="M140" s="9">
        <v>-0.81</v>
      </c>
      <c r="N140" s="9">
        <v>3.1</v>
      </c>
      <c r="O140" s="9">
        <v>12.8</v>
      </c>
      <c r="P140" s="9">
        <v>0</v>
      </c>
      <c r="Q140" s="9">
        <v>18.361039829077821</v>
      </c>
      <c r="R140" s="9">
        <v>15.88839972260562</v>
      </c>
      <c r="S140" s="9">
        <v>48526.177170000003</v>
      </c>
      <c r="T140" s="9">
        <v>0</v>
      </c>
      <c r="U140" s="9">
        <v>9.3000000000000007</v>
      </c>
      <c r="V140" s="9">
        <v>0.33</v>
      </c>
      <c r="W140" s="9">
        <v>116.3</v>
      </c>
      <c r="X140" s="9">
        <v>274983.82</v>
      </c>
      <c r="Y140" s="9">
        <v>889604.04</v>
      </c>
      <c r="Z140" s="9">
        <v>54.5</v>
      </c>
      <c r="AA140" s="9">
        <v>49.5</v>
      </c>
    </row>
    <row r="141" spans="1:27" x14ac:dyDescent="0.25">
      <c r="A141" s="12">
        <v>41060</v>
      </c>
      <c r="B141" s="9">
        <v>0</v>
      </c>
      <c r="C141" s="9">
        <v>106.308502</v>
      </c>
      <c r="D141" s="9">
        <v>105.644514</v>
      </c>
      <c r="E141" s="9">
        <v>97.5</v>
      </c>
      <c r="F141" s="9">
        <v>-2.4</v>
      </c>
      <c r="G141" s="9">
        <v>52.5</v>
      </c>
      <c r="H141" s="9">
        <v>13.8</v>
      </c>
      <c r="I141" s="9">
        <v>0</v>
      </c>
      <c r="J141" s="9">
        <v>3</v>
      </c>
      <c r="K141" s="9">
        <v>-1.4</v>
      </c>
      <c r="L141" s="9">
        <v>2.5</v>
      </c>
      <c r="M141" s="9">
        <v>-1.55</v>
      </c>
      <c r="N141" s="9">
        <v>3.5</v>
      </c>
      <c r="O141" s="9">
        <v>13.2</v>
      </c>
      <c r="P141" s="9">
        <v>0</v>
      </c>
      <c r="Q141" s="9">
        <v>18.990149498439859</v>
      </c>
      <c r="R141" s="9">
        <v>15.80285974341052</v>
      </c>
      <c r="S141" s="9">
        <v>59957.690682</v>
      </c>
      <c r="T141" s="9">
        <v>0</v>
      </c>
      <c r="U141" s="9">
        <v>9.6</v>
      </c>
      <c r="V141" s="9">
        <v>0.89</v>
      </c>
      <c r="W141" s="9">
        <v>121.5</v>
      </c>
      <c r="X141" s="9">
        <v>278656.31</v>
      </c>
      <c r="Y141" s="9">
        <v>900048.77</v>
      </c>
      <c r="Z141" s="9">
        <v>49.8</v>
      </c>
      <c r="AA141" s="9">
        <v>52.2</v>
      </c>
    </row>
    <row r="142" spans="1:27" x14ac:dyDescent="0.25">
      <c r="A142" s="12">
        <v>41090</v>
      </c>
      <c r="B142" s="9">
        <v>7.7</v>
      </c>
      <c r="C142" s="9">
        <v>103.28630099999999</v>
      </c>
      <c r="D142" s="9">
        <v>102.504587</v>
      </c>
      <c r="E142" s="9">
        <v>97.3</v>
      </c>
      <c r="F142" s="9">
        <v>-3.1</v>
      </c>
      <c r="G142" s="9">
        <v>53.7</v>
      </c>
      <c r="H142" s="9">
        <v>13.7</v>
      </c>
      <c r="I142" s="9">
        <v>2.6911999999999998</v>
      </c>
      <c r="J142" s="9">
        <v>2.2000000000000002</v>
      </c>
      <c r="K142" s="9">
        <v>-2.08</v>
      </c>
      <c r="L142" s="9">
        <v>1.4</v>
      </c>
      <c r="M142" s="9">
        <v>-2.52</v>
      </c>
      <c r="N142" s="9">
        <v>4.7</v>
      </c>
      <c r="O142" s="9">
        <v>13.6</v>
      </c>
      <c r="P142" s="9">
        <v>0</v>
      </c>
      <c r="Q142" s="9">
        <v>19.476708575234269</v>
      </c>
      <c r="R142" s="9">
        <v>16.239529950051271</v>
      </c>
      <c r="S142" s="9">
        <v>77759.585216000007</v>
      </c>
      <c r="T142" s="9">
        <v>0</v>
      </c>
      <c r="U142" s="9">
        <v>9.5</v>
      </c>
      <c r="V142" s="9">
        <v>0.83</v>
      </c>
      <c r="W142" s="9">
        <v>135</v>
      </c>
      <c r="X142" s="9">
        <v>287526.17</v>
      </c>
      <c r="Y142" s="9">
        <v>924991.2</v>
      </c>
      <c r="Z142" s="9">
        <v>49.2</v>
      </c>
      <c r="AA142" s="9">
        <v>52.3</v>
      </c>
    </row>
    <row r="143" spans="1:27" x14ac:dyDescent="0.25">
      <c r="A143" s="12">
        <v>41121</v>
      </c>
      <c r="B143" s="9">
        <v>0</v>
      </c>
      <c r="C143" s="9">
        <v>101.158377</v>
      </c>
      <c r="D143" s="9">
        <v>100.53171</v>
      </c>
      <c r="E143" s="9">
        <v>96.899999999999991</v>
      </c>
      <c r="F143" s="9">
        <v>1</v>
      </c>
      <c r="G143" s="9">
        <v>53.2</v>
      </c>
      <c r="H143" s="9">
        <v>13.1</v>
      </c>
      <c r="I143" s="9">
        <v>0</v>
      </c>
      <c r="J143" s="9">
        <v>1.8</v>
      </c>
      <c r="K143" s="9">
        <v>-2.87</v>
      </c>
      <c r="L143" s="9">
        <v>0.8</v>
      </c>
      <c r="M143" s="9">
        <v>-3.45</v>
      </c>
      <c r="N143" s="9">
        <v>4.5999999999999996</v>
      </c>
      <c r="O143" s="9">
        <v>13.9</v>
      </c>
      <c r="P143" s="9">
        <v>0</v>
      </c>
      <c r="Q143" s="9">
        <v>18.777486509797281</v>
      </c>
      <c r="R143" s="9">
        <v>16.273908579312639</v>
      </c>
      <c r="S143" s="9">
        <v>88281.161296999999</v>
      </c>
      <c r="T143" s="9">
        <v>0</v>
      </c>
      <c r="U143" s="9">
        <v>9.1999999999999993</v>
      </c>
      <c r="V143" s="9">
        <v>0.59</v>
      </c>
      <c r="W143" s="9">
        <v>123.1</v>
      </c>
      <c r="X143" s="9">
        <v>283090.68</v>
      </c>
      <c r="Y143" s="9">
        <v>919072.39999999991</v>
      </c>
      <c r="Z143" s="9">
        <v>49</v>
      </c>
      <c r="AA143" s="9">
        <v>48</v>
      </c>
    </row>
    <row r="144" spans="1:27" x14ac:dyDescent="0.25">
      <c r="A144" s="12">
        <v>41152</v>
      </c>
      <c r="B144" s="9">
        <v>0</v>
      </c>
      <c r="C144" s="9">
        <v>97.752714999999995</v>
      </c>
      <c r="D144" s="9">
        <v>97.516593</v>
      </c>
      <c r="E144" s="9">
        <v>96.8</v>
      </c>
      <c r="F144" s="9">
        <v>0.5</v>
      </c>
      <c r="G144" s="9">
        <v>52.7</v>
      </c>
      <c r="H144" s="9">
        <v>13.2</v>
      </c>
      <c r="I144" s="9">
        <v>0</v>
      </c>
      <c r="J144" s="9">
        <v>2</v>
      </c>
      <c r="K144" s="9">
        <v>-3.48</v>
      </c>
      <c r="L144" s="9">
        <v>1</v>
      </c>
      <c r="M144" s="9">
        <v>-4.0999999999999996</v>
      </c>
      <c r="N144" s="9">
        <v>4.5</v>
      </c>
      <c r="O144" s="9">
        <v>13.5</v>
      </c>
      <c r="P144" s="9">
        <v>0</v>
      </c>
      <c r="Q144" s="9">
        <v>18.15796768597858</v>
      </c>
      <c r="R144" s="9">
        <v>16.545284102751079</v>
      </c>
      <c r="S144" s="9">
        <v>100756.492524</v>
      </c>
      <c r="T144" s="9">
        <v>0</v>
      </c>
      <c r="U144" s="9">
        <v>8.9</v>
      </c>
      <c r="V144" s="9">
        <v>0.61</v>
      </c>
      <c r="W144" s="9">
        <v>125.1</v>
      </c>
      <c r="X144" s="9">
        <v>285739.27</v>
      </c>
      <c r="Y144" s="9">
        <v>924894.59</v>
      </c>
      <c r="Z144" s="9">
        <v>48.7</v>
      </c>
      <c r="AA144" s="9">
        <v>48.2</v>
      </c>
    </row>
    <row r="145" spans="1:27" x14ac:dyDescent="0.25">
      <c r="A145" s="12">
        <v>41182</v>
      </c>
      <c r="B145" s="9">
        <v>7.5</v>
      </c>
      <c r="C145" s="9">
        <v>98.248283000000001</v>
      </c>
      <c r="D145" s="9">
        <v>98.517784000000006</v>
      </c>
      <c r="E145" s="9">
        <v>97.2</v>
      </c>
      <c r="F145" s="9">
        <v>1.9</v>
      </c>
      <c r="G145" s="9">
        <v>51.8</v>
      </c>
      <c r="H145" s="9">
        <v>14.2</v>
      </c>
      <c r="I145" s="9">
        <v>1.5508</v>
      </c>
      <c r="J145" s="9">
        <v>1.9</v>
      </c>
      <c r="K145" s="9">
        <v>-3.55</v>
      </c>
      <c r="L145" s="9">
        <v>0.9</v>
      </c>
      <c r="M145" s="9">
        <v>-4.0999999999999996</v>
      </c>
      <c r="N145" s="9">
        <v>7.3</v>
      </c>
      <c r="O145" s="9">
        <v>14.8</v>
      </c>
      <c r="P145" s="9">
        <v>0</v>
      </c>
      <c r="Q145" s="9">
        <v>19.24280917354961</v>
      </c>
      <c r="R145" s="9">
        <v>17.160622623872641</v>
      </c>
      <c r="S145" s="9">
        <v>117218.72156799999</v>
      </c>
      <c r="T145" s="9">
        <v>0</v>
      </c>
      <c r="U145" s="9">
        <v>9.1999999999999993</v>
      </c>
      <c r="V145" s="9">
        <v>0.89</v>
      </c>
      <c r="W145" s="9">
        <v>134</v>
      </c>
      <c r="X145" s="9">
        <v>286788.21000000002</v>
      </c>
      <c r="Y145" s="9">
        <v>943688.75000000012</v>
      </c>
      <c r="Z145" s="9">
        <v>49.8</v>
      </c>
      <c r="AA145" s="9">
        <v>47.9</v>
      </c>
    </row>
    <row r="146" spans="1:27" x14ac:dyDescent="0.25">
      <c r="A146" s="12">
        <v>41213</v>
      </c>
      <c r="B146" s="9">
        <v>0</v>
      </c>
      <c r="C146" s="9">
        <v>99.476602999999997</v>
      </c>
      <c r="D146" s="9">
        <v>99.802198000000004</v>
      </c>
      <c r="E146" s="9">
        <v>97.6</v>
      </c>
      <c r="F146" s="9">
        <v>2.2999999999999998</v>
      </c>
      <c r="G146" s="9">
        <v>51.6</v>
      </c>
      <c r="H146" s="9">
        <v>14.5</v>
      </c>
      <c r="I146" s="9">
        <v>0</v>
      </c>
      <c r="J146" s="9">
        <v>1.7</v>
      </c>
      <c r="K146" s="9">
        <v>-2.76</v>
      </c>
      <c r="L146" s="9">
        <v>0.9</v>
      </c>
      <c r="M146" s="9">
        <v>-3.28</v>
      </c>
      <c r="N146" s="9">
        <v>6.1</v>
      </c>
      <c r="O146" s="9">
        <v>14.1</v>
      </c>
      <c r="P146" s="9">
        <v>0</v>
      </c>
      <c r="Q146" s="9">
        <v>18.172645277649831</v>
      </c>
      <c r="R146" s="9">
        <v>16.73172537736454</v>
      </c>
      <c r="S146" s="9">
        <v>130124.420237</v>
      </c>
      <c r="T146" s="9">
        <v>0</v>
      </c>
      <c r="U146" s="9">
        <v>9.6</v>
      </c>
      <c r="V146" s="9">
        <v>0.76</v>
      </c>
      <c r="W146" s="9">
        <v>130.6</v>
      </c>
      <c r="X146" s="9">
        <v>293309.78000000003</v>
      </c>
      <c r="Y146" s="9">
        <v>936404.28</v>
      </c>
      <c r="Z146" s="9">
        <v>50.4</v>
      </c>
      <c r="AA146" s="9">
        <v>48.1</v>
      </c>
    </row>
    <row r="147" spans="1:27" x14ac:dyDescent="0.25">
      <c r="A147" s="12">
        <v>41243</v>
      </c>
      <c r="B147" s="9">
        <v>0</v>
      </c>
      <c r="C147" s="9">
        <v>101.23269000000001</v>
      </c>
      <c r="D147" s="9">
        <v>101.223254</v>
      </c>
      <c r="E147" s="9">
        <v>98.200000000000017</v>
      </c>
      <c r="F147" s="9">
        <v>2.4</v>
      </c>
      <c r="G147" s="9">
        <v>53.2</v>
      </c>
      <c r="H147" s="9">
        <v>14.9</v>
      </c>
      <c r="I147" s="9">
        <v>0</v>
      </c>
      <c r="J147" s="9">
        <v>2</v>
      </c>
      <c r="K147" s="9">
        <v>-2.2000000000000002</v>
      </c>
      <c r="L147" s="9">
        <v>1.1000000000000001</v>
      </c>
      <c r="M147" s="9">
        <v>-2.77</v>
      </c>
      <c r="N147" s="9">
        <v>5.5</v>
      </c>
      <c r="O147" s="9">
        <v>13.9</v>
      </c>
      <c r="P147" s="9">
        <v>0</v>
      </c>
      <c r="Q147" s="9">
        <v>17.402531506550819</v>
      </c>
      <c r="R147" s="9">
        <v>16.419274543127049</v>
      </c>
      <c r="S147" s="9">
        <v>141348.93632499999</v>
      </c>
      <c r="T147" s="9">
        <v>0</v>
      </c>
      <c r="U147" s="9">
        <v>10.1</v>
      </c>
      <c r="V147" s="9">
        <v>0.86</v>
      </c>
      <c r="W147" s="9">
        <v>137.4</v>
      </c>
      <c r="X147" s="9">
        <v>296883.05</v>
      </c>
      <c r="Y147" s="9">
        <v>944832.35000000009</v>
      </c>
      <c r="Z147" s="9">
        <v>51.2</v>
      </c>
      <c r="AA147" s="9">
        <v>48.8</v>
      </c>
    </row>
    <row r="148" spans="1:27" x14ac:dyDescent="0.25">
      <c r="A148" s="12">
        <v>41274</v>
      </c>
      <c r="B148" s="9">
        <v>8.1</v>
      </c>
      <c r="C148" s="9">
        <v>102.427779</v>
      </c>
      <c r="D148" s="9">
        <v>102.444909</v>
      </c>
      <c r="E148" s="9">
        <v>98.300000000000011</v>
      </c>
      <c r="F148" s="9">
        <v>1.8</v>
      </c>
      <c r="G148" s="9">
        <v>54.3</v>
      </c>
      <c r="H148" s="9">
        <v>15.2</v>
      </c>
      <c r="I148" s="9">
        <v>1.8346</v>
      </c>
      <c r="J148" s="9">
        <v>2.5</v>
      </c>
      <c r="K148" s="9">
        <v>-1.94</v>
      </c>
      <c r="L148" s="9">
        <v>1.5</v>
      </c>
      <c r="M148" s="9">
        <v>-2.42</v>
      </c>
      <c r="N148" s="9">
        <v>6.5</v>
      </c>
      <c r="O148" s="9">
        <v>13.8</v>
      </c>
      <c r="P148" s="9">
        <v>19.100000000000001</v>
      </c>
      <c r="Q148" s="9">
        <v>17.488486748179511</v>
      </c>
      <c r="R148" s="9">
        <v>16.493245408030241</v>
      </c>
      <c r="S148" s="9">
        <v>157630.80933799999</v>
      </c>
      <c r="T148" s="9">
        <v>91.418599999999998</v>
      </c>
      <c r="U148" s="9">
        <v>10.3</v>
      </c>
      <c r="V148" s="9">
        <v>0.9</v>
      </c>
      <c r="W148" s="9">
        <v>147.69999999999999</v>
      </c>
      <c r="X148" s="9">
        <v>308664.23000000004</v>
      </c>
      <c r="Y148" s="9">
        <v>974148.8</v>
      </c>
      <c r="Z148" s="9">
        <v>51.2</v>
      </c>
      <c r="AA148" s="9">
        <v>49.4</v>
      </c>
    </row>
    <row r="149" spans="1:27" x14ac:dyDescent="0.25">
      <c r="A149" s="12">
        <v>41305</v>
      </c>
      <c r="B149" s="9">
        <v>0</v>
      </c>
      <c r="C149" s="9">
        <v>106.975729</v>
      </c>
      <c r="D149" s="9">
        <v>104.024235</v>
      </c>
      <c r="E149" s="9">
        <v>98.1</v>
      </c>
      <c r="F149" s="9">
        <v>4.2</v>
      </c>
      <c r="G149" s="9">
        <v>53.7</v>
      </c>
      <c r="H149" s="9">
        <v>0</v>
      </c>
      <c r="I149" s="9">
        <v>0</v>
      </c>
      <c r="J149" s="9">
        <v>2.0305</v>
      </c>
      <c r="K149" s="9">
        <v>-1.64</v>
      </c>
      <c r="L149" s="9">
        <v>1.3</v>
      </c>
      <c r="M149" s="9">
        <v>-1.92</v>
      </c>
      <c r="N149" s="9">
        <v>15.3</v>
      </c>
      <c r="O149" s="9">
        <v>15.9</v>
      </c>
      <c r="P149" s="9">
        <v>0</v>
      </c>
      <c r="Q149" s="9">
        <v>18.88345339313992</v>
      </c>
      <c r="R149" s="9">
        <v>16.893010081689042</v>
      </c>
      <c r="S149" s="9">
        <v>25446.34</v>
      </c>
      <c r="T149" s="9">
        <v>0</v>
      </c>
      <c r="U149" s="9">
        <v>17.7</v>
      </c>
      <c r="V149" s="9">
        <v>0.61</v>
      </c>
      <c r="W149" s="9">
        <v>119</v>
      </c>
      <c r="X149" s="9">
        <v>311228.55</v>
      </c>
      <c r="Y149" s="9">
        <v>992129.24999999988</v>
      </c>
      <c r="Z149" s="9">
        <v>51.6</v>
      </c>
      <c r="AA149" s="9">
        <v>47.4</v>
      </c>
    </row>
    <row r="150" spans="1:27" x14ac:dyDescent="0.25">
      <c r="A150" s="12">
        <v>41333</v>
      </c>
      <c r="B150" s="9">
        <v>0</v>
      </c>
      <c r="C150" s="9">
        <v>100.05052000000001</v>
      </c>
      <c r="D150" s="9">
        <v>103.487348</v>
      </c>
      <c r="E150" s="9">
        <v>97.4</v>
      </c>
      <c r="F150" s="9">
        <v>3.5</v>
      </c>
      <c r="G150" s="9">
        <v>51.8</v>
      </c>
      <c r="H150" s="9">
        <v>12.299899999999999</v>
      </c>
      <c r="I150" s="9">
        <v>0</v>
      </c>
      <c r="J150" s="9">
        <v>3.2198000000000002</v>
      </c>
      <c r="K150" s="9">
        <v>-1.63</v>
      </c>
      <c r="L150" s="9">
        <v>2.1</v>
      </c>
      <c r="M150" s="9">
        <v>-1.88</v>
      </c>
      <c r="N150" s="9">
        <v>9.5</v>
      </c>
      <c r="O150" s="9">
        <v>15.2</v>
      </c>
      <c r="P150" s="9">
        <v>0</v>
      </c>
      <c r="Q150" s="9">
        <v>17.47801081586676</v>
      </c>
      <c r="R150" s="9">
        <v>16.432256933964151</v>
      </c>
      <c r="S150" s="9">
        <v>36151.449999999997</v>
      </c>
      <c r="T150" s="9">
        <v>0</v>
      </c>
      <c r="U150" s="9">
        <v>2.2000000000000002</v>
      </c>
      <c r="V150" s="9">
        <v>0.78</v>
      </c>
      <c r="W150" s="9">
        <v>104.9</v>
      </c>
      <c r="X150" s="9">
        <v>296103.24</v>
      </c>
      <c r="Y150" s="9">
        <v>998600.83</v>
      </c>
      <c r="Z150" s="9">
        <v>50.1</v>
      </c>
      <c r="AA150" s="9">
        <v>46.6</v>
      </c>
    </row>
    <row r="151" spans="1:27" x14ac:dyDescent="0.25">
      <c r="A151" s="12">
        <v>41364</v>
      </c>
      <c r="B151" s="9">
        <v>7.9</v>
      </c>
      <c r="C151" s="9">
        <v>101.625416</v>
      </c>
      <c r="D151" s="9">
        <v>100.847853</v>
      </c>
      <c r="E151" s="9">
        <v>97.799999999999983</v>
      </c>
      <c r="F151" s="9">
        <v>2.1</v>
      </c>
      <c r="G151" s="9">
        <v>52</v>
      </c>
      <c r="H151" s="9">
        <v>12.600300000000001</v>
      </c>
      <c r="I151" s="9">
        <v>2.2565</v>
      </c>
      <c r="J151" s="9">
        <v>2.0695999999999999</v>
      </c>
      <c r="K151" s="9">
        <v>-1.92</v>
      </c>
      <c r="L151" s="9">
        <v>0.8</v>
      </c>
      <c r="M151" s="9">
        <v>-2.04</v>
      </c>
      <c r="N151" s="9">
        <v>11.9</v>
      </c>
      <c r="O151" s="9">
        <v>15.7</v>
      </c>
      <c r="P151" s="9">
        <v>0</v>
      </c>
      <c r="Q151" s="9">
        <v>16.956365000569232</v>
      </c>
      <c r="R151" s="9">
        <v>16.571258436261932</v>
      </c>
      <c r="S151" s="9">
        <v>61654</v>
      </c>
      <c r="T151" s="9">
        <v>0</v>
      </c>
      <c r="U151" s="9">
        <v>8.9</v>
      </c>
      <c r="V151" s="9">
        <v>0.72</v>
      </c>
      <c r="W151" s="9">
        <v>137.1</v>
      </c>
      <c r="X151" s="9">
        <v>310898.28999999998</v>
      </c>
      <c r="Y151" s="9">
        <v>1035858.37</v>
      </c>
      <c r="Z151" s="9">
        <v>52.3</v>
      </c>
      <c r="AA151" s="9">
        <v>50.2</v>
      </c>
    </row>
    <row r="152" spans="1:27" x14ac:dyDescent="0.25">
      <c r="A152" s="12">
        <v>41394</v>
      </c>
      <c r="B152" s="9">
        <v>0</v>
      </c>
      <c r="C152" s="9">
        <v>100.25120099999999</v>
      </c>
      <c r="D152" s="9">
        <v>100.04665900000001</v>
      </c>
      <c r="E152" s="9">
        <v>97.799999999999983</v>
      </c>
      <c r="F152" s="9">
        <v>4</v>
      </c>
      <c r="G152" s="9">
        <v>50.9</v>
      </c>
      <c r="H152" s="9">
        <v>12.8</v>
      </c>
      <c r="I152" s="9">
        <v>0</v>
      </c>
      <c r="J152" s="9">
        <v>2.3860999999999999</v>
      </c>
      <c r="K152" s="9">
        <v>-2.62</v>
      </c>
      <c r="L152" s="9">
        <v>0.9</v>
      </c>
      <c r="M152" s="9">
        <v>-2.7</v>
      </c>
      <c r="N152" s="9">
        <v>11.9</v>
      </c>
      <c r="O152" s="9">
        <v>16.100000000000001</v>
      </c>
      <c r="P152" s="9">
        <v>0</v>
      </c>
      <c r="Q152" s="9">
        <v>17.242498613823859</v>
      </c>
      <c r="R152" s="9">
        <v>17.01180539696588</v>
      </c>
      <c r="S152" s="9">
        <v>79283</v>
      </c>
      <c r="T152" s="9">
        <v>0</v>
      </c>
      <c r="U152" s="9">
        <v>9.3000000000000007</v>
      </c>
      <c r="V152" s="9">
        <v>0.8</v>
      </c>
      <c r="W152" s="9">
        <v>127.1</v>
      </c>
      <c r="X152" s="9">
        <v>307648.42</v>
      </c>
      <c r="Y152" s="9">
        <v>1032551.8999999999</v>
      </c>
      <c r="Z152" s="9">
        <v>51.7</v>
      </c>
      <c r="AA152" s="9">
        <v>47.7</v>
      </c>
    </row>
    <row r="153" spans="1:27" x14ac:dyDescent="0.25">
      <c r="A153" s="12">
        <v>41425</v>
      </c>
      <c r="B153" s="9">
        <v>0</v>
      </c>
      <c r="C153" s="9">
        <v>97.106155000000001</v>
      </c>
      <c r="D153" s="9">
        <v>97.245964000000001</v>
      </c>
      <c r="E153" s="9">
        <v>97.6</v>
      </c>
      <c r="F153" s="9">
        <v>3.2</v>
      </c>
      <c r="G153" s="9">
        <v>50.1</v>
      </c>
      <c r="H153" s="9">
        <v>12.892200000000001</v>
      </c>
      <c r="I153" s="9">
        <v>0</v>
      </c>
      <c r="J153" s="9">
        <v>2.0981000000000001</v>
      </c>
      <c r="K153" s="9">
        <v>-2.87</v>
      </c>
      <c r="L153" s="9">
        <v>0.7</v>
      </c>
      <c r="M153" s="9">
        <v>-2.99</v>
      </c>
      <c r="N153" s="9">
        <v>11.3</v>
      </c>
      <c r="O153" s="9">
        <v>15.8</v>
      </c>
      <c r="P153" s="9">
        <v>0</v>
      </c>
      <c r="Q153" s="9">
        <v>16.71241877913058</v>
      </c>
      <c r="R153" s="9">
        <v>17.191988135671298</v>
      </c>
      <c r="S153" s="9">
        <v>91154</v>
      </c>
      <c r="T153" s="9">
        <v>0</v>
      </c>
      <c r="U153" s="9">
        <v>9.1999999999999993</v>
      </c>
      <c r="V153" s="9">
        <v>0.74</v>
      </c>
      <c r="W153" s="9">
        <v>132.69999999999999</v>
      </c>
      <c r="X153" s="9">
        <v>310204.48</v>
      </c>
      <c r="Y153" s="9">
        <v>1042169.16</v>
      </c>
      <c r="Z153" s="9">
        <v>51.8</v>
      </c>
      <c r="AA153" s="9">
        <v>48.6</v>
      </c>
    </row>
    <row r="154" spans="1:27" x14ac:dyDescent="0.25">
      <c r="A154" s="12">
        <v>41455</v>
      </c>
      <c r="B154" s="9">
        <v>7.6</v>
      </c>
      <c r="C154" s="9">
        <v>96.980418</v>
      </c>
      <c r="D154" s="9">
        <v>97.092006999999995</v>
      </c>
      <c r="E154" s="9">
        <v>97.699999999999989</v>
      </c>
      <c r="F154" s="9">
        <v>2.2000000000000002</v>
      </c>
      <c r="G154" s="9">
        <v>50.3</v>
      </c>
      <c r="H154" s="9">
        <v>13.3125</v>
      </c>
      <c r="I154" s="9">
        <v>1.6068</v>
      </c>
      <c r="J154" s="9">
        <v>2.6684000000000001</v>
      </c>
      <c r="K154" s="9">
        <v>-2.7</v>
      </c>
      <c r="L154" s="9">
        <v>1.4</v>
      </c>
      <c r="M154" s="9">
        <v>-2.65</v>
      </c>
      <c r="N154" s="9">
        <v>9.1</v>
      </c>
      <c r="O154" s="9">
        <v>14</v>
      </c>
      <c r="P154" s="9">
        <v>0</v>
      </c>
      <c r="Q154" s="9">
        <v>14.056363350627301</v>
      </c>
      <c r="R154" s="9">
        <v>16.86455920045907</v>
      </c>
      <c r="S154" s="9">
        <v>101529</v>
      </c>
      <c r="T154" s="9">
        <v>0</v>
      </c>
      <c r="U154" s="9">
        <v>8.9</v>
      </c>
      <c r="V154" s="9">
        <v>0.62</v>
      </c>
      <c r="W154" s="9">
        <v>147</v>
      </c>
      <c r="X154" s="9">
        <v>313499.82</v>
      </c>
      <c r="Y154" s="9">
        <v>1054403.69</v>
      </c>
      <c r="Z154" s="9">
        <v>50.4</v>
      </c>
      <c r="AA154" s="9">
        <v>48.2</v>
      </c>
    </row>
    <row r="155" spans="1:27" x14ac:dyDescent="0.25">
      <c r="A155" s="12">
        <v>41486</v>
      </c>
      <c r="B155" s="9">
        <v>0</v>
      </c>
      <c r="C155" s="9">
        <v>100.69072199999999</v>
      </c>
      <c r="D155" s="9">
        <v>100.65916300000001</v>
      </c>
      <c r="E155" s="9">
        <v>98.1</v>
      </c>
      <c r="F155" s="9">
        <v>3.3</v>
      </c>
      <c r="G155" s="9">
        <v>50.3</v>
      </c>
      <c r="H155" s="9">
        <v>13.212300000000001</v>
      </c>
      <c r="I155" s="9">
        <v>0</v>
      </c>
      <c r="J155" s="9">
        <v>2.6741000000000001</v>
      </c>
      <c r="K155" s="9">
        <v>-2.27</v>
      </c>
      <c r="L155" s="9">
        <v>1.7</v>
      </c>
      <c r="M155" s="9">
        <v>-2.23</v>
      </c>
      <c r="N155" s="9">
        <v>9.6999999999999993</v>
      </c>
      <c r="O155" s="9">
        <v>14.5</v>
      </c>
      <c r="P155" s="9">
        <v>0</v>
      </c>
      <c r="Q155" s="9">
        <v>14.974479156761021</v>
      </c>
      <c r="R155" s="9">
        <v>17.09320116810796</v>
      </c>
      <c r="S155" s="9">
        <v>109720</v>
      </c>
      <c r="T155" s="9">
        <v>0</v>
      </c>
      <c r="U155" s="9">
        <v>9.6999999999999993</v>
      </c>
      <c r="V155" s="9">
        <v>0.9</v>
      </c>
      <c r="W155" s="9">
        <v>135</v>
      </c>
      <c r="X155" s="9">
        <v>310596.45999999996</v>
      </c>
      <c r="Y155" s="9">
        <v>1052212.3400000001</v>
      </c>
      <c r="Z155" s="9">
        <v>50.6</v>
      </c>
      <c r="AA155" s="9">
        <v>47.3</v>
      </c>
    </row>
    <row r="156" spans="1:27" x14ac:dyDescent="0.25">
      <c r="A156" s="12">
        <v>41517</v>
      </c>
      <c r="B156" s="9">
        <v>0</v>
      </c>
      <c r="C156" s="9">
        <v>101.775471</v>
      </c>
      <c r="D156" s="9">
        <v>101.326848</v>
      </c>
      <c r="E156" s="9">
        <v>98.4</v>
      </c>
      <c r="F156" s="9">
        <v>4.8</v>
      </c>
      <c r="G156" s="9">
        <v>50.9</v>
      </c>
      <c r="H156" s="9">
        <v>13.370100000000001</v>
      </c>
      <c r="I156" s="9">
        <v>0</v>
      </c>
      <c r="J156" s="9">
        <v>2.5666000000000002</v>
      </c>
      <c r="K156" s="9">
        <v>-1.62</v>
      </c>
      <c r="L156" s="9">
        <v>1.6</v>
      </c>
      <c r="M156" s="9">
        <v>-1.62</v>
      </c>
      <c r="N156" s="9">
        <v>9.9</v>
      </c>
      <c r="O156" s="9">
        <v>14.7</v>
      </c>
      <c r="P156" s="9">
        <v>0</v>
      </c>
      <c r="Q156" s="9">
        <v>15.10864719514519</v>
      </c>
      <c r="R156" s="9">
        <v>16.692107945729308</v>
      </c>
      <c r="S156" s="9">
        <v>125561</v>
      </c>
      <c r="T156" s="9">
        <v>0</v>
      </c>
      <c r="U156" s="9">
        <v>10.4</v>
      </c>
      <c r="V156" s="9">
        <v>1.0900000000000001</v>
      </c>
      <c r="W156" s="9">
        <v>138.1</v>
      </c>
      <c r="X156" s="9">
        <v>314085.91000000003</v>
      </c>
      <c r="Y156" s="9">
        <v>1061256.43</v>
      </c>
      <c r="Z156" s="9">
        <v>52.4</v>
      </c>
      <c r="AA156" s="9">
        <v>47.6</v>
      </c>
    </row>
    <row r="157" spans="1:27" x14ac:dyDescent="0.25">
      <c r="A157" s="12">
        <v>41547</v>
      </c>
      <c r="B157" s="9">
        <v>7.9</v>
      </c>
      <c r="C157" s="9">
        <v>99.607274000000004</v>
      </c>
      <c r="D157" s="9">
        <v>99.603402000000003</v>
      </c>
      <c r="E157" s="9">
        <v>98.5</v>
      </c>
      <c r="F157" s="9">
        <v>5.4</v>
      </c>
      <c r="G157" s="9">
        <v>53.4</v>
      </c>
      <c r="H157" s="9">
        <v>13.314299999999999</v>
      </c>
      <c r="I157" s="9">
        <v>2.2275999999999998</v>
      </c>
      <c r="J157" s="9">
        <v>3.0518999999999998</v>
      </c>
      <c r="K157" s="9">
        <v>-1.34</v>
      </c>
      <c r="L157" s="9">
        <v>1.9</v>
      </c>
      <c r="M157" s="9">
        <v>-1.57</v>
      </c>
      <c r="N157" s="9">
        <v>8.9</v>
      </c>
      <c r="O157" s="9">
        <v>14.2</v>
      </c>
      <c r="P157" s="9">
        <v>0</v>
      </c>
      <c r="Q157" s="9">
        <v>14.630549627143759</v>
      </c>
      <c r="R157" s="9">
        <v>16.43555163214419</v>
      </c>
      <c r="S157" s="9">
        <v>139681</v>
      </c>
      <c r="T157" s="9">
        <v>0</v>
      </c>
      <c r="U157" s="9">
        <v>10.199999999999999</v>
      </c>
      <c r="V157" s="9">
        <v>0.54</v>
      </c>
      <c r="W157" s="9">
        <v>147.69999999999999</v>
      </c>
      <c r="X157" s="9">
        <v>312330.33999999997</v>
      </c>
      <c r="Y157" s="9">
        <v>1077379.1600000001</v>
      </c>
      <c r="Z157" s="9">
        <v>52.8</v>
      </c>
      <c r="AA157" s="9">
        <v>47.4</v>
      </c>
    </row>
    <row r="158" spans="1:27" x14ac:dyDescent="0.25">
      <c r="A158" s="12">
        <v>41578</v>
      </c>
      <c r="B158" s="9">
        <v>0</v>
      </c>
      <c r="C158" s="9">
        <v>99.989400000000003</v>
      </c>
      <c r="D158" s="9">
        <v>100.11366200000001</v>
      </c>
      <c r="E158" s="9">
        <v>98.4</v>
      </c>
      <c r="F158" s="9">
        <v>6.9</v>
      </c>
      <c r="G158" s="9">
        <v>51.6</v>
      </c>
      <c r="H158" s="9">
        <v>13.3202</v>
      </c>
      <c r="I158" s="9">
        <v>0</v>
      </c>
      <c r="J158" s="9">
        <v>3.2058</v>
      </c>
      <c r="K158" s="9">
        <v>-1.51</v>
      </c>
      <c r="L158" s="9">
        <v>1.9</v>
      </c>
      <c r="M158" s="9">
        <v>-1.64</v>
      </c>
      <c r="N158" s="9">
        <v>8.9</v>
      </c>
      <c r="O158" s="9">
        <v>14.3</v>
      </c>
      <c r="P158" s="9">
        <v>0</v>
      </c>
      <c r="Q158" s="9">
        <v>15.68410718802272</v>
      </c>
      <c r="R158" s="9">
        <v>16.14777648332602</v>
      </c>
      <c r="S158" s="9">
        <v>148326</v>
      </c>
      <c r="T158" s="9">
        <v>0</v>
      </c>
      <c r="U158" s="9">
        <v>10.3</v>
      </c>
      <c r="V158" s="9">
        <v>0.85</v>
      </c>
      <c r="W158" s="9">
        <v>144.1</v>
      </c>
      <c r="X158" s="9">
        <v>319509.38</v>
      </c>
      <c r="Y158" s="9">
        <v>1070242.17</v>
      </c>
      <c r="Z158" s="9">
        <v>52.5</v>
      </c>
      <c r="AA158" s="9">
        <v>45.6</v>
      </c>
    </row>
    <row r="159" spans="1:27" x14ac:dyDescent="0.25">
      <c r="A159" s="12">
        <v>41608</v>
      </c>
      <c r="B159" s="9">
        <v>0</v>
      </c>
      <c r="C159" s="9">
        <v>99.488055000000003</v>
      </c>
      <c r="D159" s="9">
        <v>99.638526999999996</v>
      </c>
      <c r="E159" s="9">
        <v>98.300000000000011</v>
      </c>
      <c r="F159" s="9">
        <v>4.4000000000000004</v>
      </c>
      <c r="G159" s="9">
        <v>51</v>
      </c>
      <c r="H159" s="9">
        <v>13.721299999999999</v>
      </c>
      <c r="I159" s="9">
        <v>0</v>
      </c>
      <c r="J159" s="9">
        <v>3.0179999999999998</v>
      </c>
      <c r="K159" s="9">
        <v>-1.42</v>
      </c>
      <c r="L159" s="9">
        <v>1.67</v>
      </c>
      <c r="M159" s="9">
        <v>-1.46</v>
      </c>
      <c r="N159" s="9">
        <v>9.4</v>
      </c>
      <c r="O159" s="9">
        <v>14.2</v>
      </c>
      <c r="P159" s="9">
        <v>0</v>
      </c>
      <c r="Q159" s="9">
        <v>15.907223102875779</v>
      </c>
      <c r="R159" s="9">
        <v>16.08408812943448</v>
      </c>
      <c r="S159" s="9">
        <v>160636</v>
      </c>
      <c r="T159" s="9">
        <v>0</v>
      </c>
      <c r="U159" s="9">
        <v>10</v>
      </c>
      <c r="V159" s="9">
        <v>0.73</v>
      </c>
      <c r="W159" s="9">
        <v>151.1</v>
      </c>
      <c r="X159" s="9">
        <v>324821.92</v>
      </c>
      <c r="Y159" s="9">
        <v>1079257.06</v>
      </c>
      <c r="Z159" s="9">
        <v>52.3</v>
      </c>
      <c r="AA159" s="9">
        <v>47.9</v>
      </c>
    </row>
    <row r="160" spans="1:27" x14ac:dyDescent="0.25">
      <c r="A160" s="12">
        <v>41639</v>
      </c>
      <c r="B160" s="9">
        <v>7.7</v>
      </c>
      <c r="C160" s="9">
        <v>99.678768000000005</v>
      </c>
      <c r="D160" s="9">
        <v>99.679691000000005</v>
      </c>
      <c r="E160" s="9">
        <v>98.200000000000017</v>
      </c>
      <c r="F160" s="9">
        <v>5.8</v>
      </c>
      <c r="G160" s="9">
        <v>51</v>
      </c>
      <c r="H160" s="9">
        <v>13.6</v>
      </c>
      <c r="I160" s="9">
        <v>2.6892999999999998</v>
      </c>
      <c r="J160" s="9">
        <v>2.4986999999999999</v>
      </c>
      <c r="K160" s="9">
        <v>-1.36</v>
      </c>
      <c r="L160" s="9">
        <v>1.25</v>
      </c>
      <c r="M160" s="9">
        <v>-1.36</v>
      </c>
      <c r="N160" s="9">
        <v>9.3000000000000007</v>
      </c>
      <c r="O160" s="9">
        <v>13.6</v>
      </c>
      <c r="P160" s="9">
        <v>17.5</v>
      </c>
      <c r="Q160" s="9">
        <v>14.05445356138606</v>
      </c>
      <c r="R160" s="9">
        <v>15.644053691047709</v>
      </c>
      <c r="S160" s="9">
        <v>173169</v>
      </c>
      <c r="T160" s="9">
        <v>107.4575</v>
      </c>
      <c r="U160" s="9">
        <v>9.6999999999999993</v>
      </c>
      <c r="V160" s="9">
        <v>0.51</v>
      </c>
      <c r="W160" s="9">
        <v>162</v>
      </c>
      <c r="X160" s="9">
        <v>337291.05</v>
      </c>
      <c r="Y160" s="9">
        <v>1106524.98</v>
      </c>
      <c r="Z160" s="9">
        <v>52</v>
      </c>
      <c r="AA160" s="9">
        <v>46.2</v>
      </c>
    </row>
    <row r="161" spans="1:27" x14ac:dyDescent="0.25">
      <c r="A161" s="12">
        <v>41670</v>
      </c>
      <c r="B161" s="9">
        <v>0</v>
      </c>
      <c r="C161" s="9">
        <v>98.723915000000005</v>
      </c>
      <c r="D161" s="9">
        <v>98.908310999999998</v>
      </c>
      <c r="E161" s="9">
        <v>97.9</v>
      </c>
      <c r="F161" s="9">
        <v>4.4000000000000004</v>
      </c>
      <c r="G161" s="9">
        <v>50.9</v>
      </c>
      <c r="H161" s="9">
        <v>0</v>
      </c>
      <c r="I161" s="9">
        <v>0</v>
      </c>
      <c r="J161" s="9">
        <v>2.4861</v>
      </c>
      <c r="K161" s="9">
        <v>-1.64</v>
      </c>
      <c r="L161" s="9">
        <v>1.1100000000000001</v>
      </c>
      <c r="M161" s="9">
        <v>-1.67</v>
      </c>
      <c r="N161" s="9">
        <v>1.2</v>
      </c>
      <c r="O161" s="9">
        <v>13.2</v>
      </c>
      <c r="P161" s="9">
        <v>0</v>
      </c>
      <c r="Q161" s="9">
        <v>13.612649832215279</v>
      </c>
      <c r="R161" s="9">
        <v>16.004394030232959</v>
      </c>
      <c r="S161" s="9">
        <v>26004</v>
      </c>
      <c r="T161" s="9">
        <v>0</v>
      </c>
      <c r="U161" s="9">
        <v>8.5</v>
      </c>
      <c r="V161" s="9">
        <v>0.55000000000000004</v>
      </c>
      <c r="W161" s="9">
        <v>129.1</v>
      </c>
      <c r="X161" s="9">
        <v>314900.55000000005</v>
      </c>
      <c r="Y161" s="9">
        <v>1123521.21</v>
      </c>
      <c r="Z161" s="9">
        <v>50.9</v>
      </c>
      <c r="AA161" s="9">
        <v>46.5</v>
      </c>
    </row>
    <row r="162" spans="1:27" x14ac:dyDescent="0.25">
      <c r="A162" s="12">
        <v>41698</v>
      </c>
      <c r="B162" s="9">
        <v>0</v>
      </c>
      <c r="C162" s="9">
        <v>97.787745999999999</v>
      </c>
      <c r="D162" s="9">
        <v>97.807822000000002</v>
      </c>
      <c r="E162" s="9">
        <v>97.6</v>
      </c>
      <c r="F162" s="9">
        <v>2.7</v>
      </c>
      <c r="G162" s="9">
        <v>51.4</v>
      </c>
      <c r="H162" s="9">
        <v>11.8246</v>
      </c>
      <c r="I162" s="9">
        <v>0</v>
      </c>
      <c r="J162" s="9">
        <v>1.9511000000000001</v>
      </c>
      <c r="K162" s="9">
        <v>-2</v>
      </c>
      <c r="L162" s="9">
        <v>0.75190000000000001</v>
      </c>
      <c r="M162" s="9">
        <v>-2.1252</v>
      </c>
      <c r="N162" s="9">
        <v>6.9</v>
      </c>
      <c r="O162" s="9">
        <v>13.3</v>
      </c>
      <c r="P162" s="9">
        <v>0</v>
      </c>
      <c r="Q162" s="9">
        <v>14.833501340956991</v>
      </c>
      <c r="R162" s="9">
        <v>15.98204682553571</v>
      </c>
      <c r="S162" s="9">
        <v>35374</v>
      </c>
      <c r="T162" s="9">
        <v>0</v>
      </c>
      <c r="U162" s="9">
        <v>8.8000000000000007</v>
      </c>
      <c r="V162" s="9">
        <v>0.57999999999999996</v>
      </c>
      <c r="W162" s="9">
        <v>114.1</v>
      </c>
      <c r="X162" s="9">
        <v>316625.11</v>
      </c>
      <c r="Y162" s="9">
        <v>1131760.83</v>
      </c>
      <c r="Z162" s="9">
        <v>50.5</v>
      </c>
      <c r="AA162" s="9">
        <v>47.8</v>
      </c>
    </row>
    <row r="163" spans="1:27" x14ac:dyDescent="0.25">
      <c r="A163" s="12">
        <v>41729</v>
      </c>
      <c r="B163" s="9">
        <v>7.6</v>
      </c>
      <c r="C163" s="9">
        <v>93.837907999999999</v>
      </c>
      <c r="D163" s="9">
        <v>94.334468999999999</v>
      </c>
      <c r="E163" s="9">
        <v>96.7</v>
      </c>
      <c r="F163" s="9">
        <v>2.2999999999999998</v>
      </c>
      <c r="G163" s="9">
        <v>50.8</v>
      </c>
      <c r="H163" s="9">
        <v>12.240399999999999</v>
      </c>
      <c r="I163" s="9">
        <v>0.91139999999999999</v>
      </c>
      <c r="J163" s="9">
        <v>2.3847999999999998</v>
      </c>
      <c r="K163" s="9">
        <v>-2.3018999999999998</v>
      </c>
      <c r="L163" s="9">
        <v>1.2</v>
      </c>
      <c r="M163" s="9">
        <v>-2.5</v>
      </c>
      <c r="N163" s="9">
        <v>5.4</v>
      </c>
      <c r="O163" s="9">
        <v>12.1</v>
      </c>
      <c r="P163" s="9">
        <v>0</v>
      </c>
      <c r="Q163" s="9">
        <v>13.437732739062231</v>
      </c>
      <c r="R163" s="9">
        <v>15.488404561120269</v>
      </c>
      <c r="S163" s="9">
        <v>56042</v>
      </c>
      <c r="T163" s="9">
        <v>0</v>
      </c>
      <c r="U163" s="9">
        <v>8.8000000000000007</v>
      </c>
      <c r="V163" s="9">
        <v>0.92</v>
      </c>
      <c r="W163" s="9">
        <v>149.19999999999999</v>
      </c>
      <c r="X163" s="9">
        <v>327683.74</v>
      </c>
      <c r="Y163" s="9">
        <v>1160687.3799999999</v>
      </c>
      <c r="Z163" s="9">
        <v>50.6</v>
      </c>
      <c r="AA163" s="9">
        <v>48.3</v>
      </c>
    </row>
    <row r="164" spans="1:27" x14ac:dyDescent="0.25">
      <c r="A164" s="12">
        <v>41759</v>
      </c>
      <c r="B164" s="9">
        <v>0</v>
      </c>
      <c r="C164" s="9">
        <v>95.205726999999996</v>
      </c>
      <c r="D164" s="9">
        <v>95.458573999999999</v>
      </c>
      <c r="E164" s="9">
        <v>96.899999999999991</v>
      </c>
      <c r="F164" s="9">
        <v>3.9</v>
      </c>
      <c r="G164" s="9">
        <v>50.8</v>
      </c>
      <c r="H164" s="9">
        <v>11.9</v>
      </c>
      <c r="I164" s="9">
        <v>0</v>
      </c>
      <c r="J164" s="9">
        <v>1.8013999999999999</v>
      </c>
      <c r="K164" s="9">
        <v>-2.0042</v>
      </c>
      <c r="L164" s="9">
        <v>0.80730000000000002</v>
      </c>
      <c r="M164" s="9">
        <v>-2.3064</v>
      </c>
      <c r="N164" s="9">
        <v>5.5</v>
      </c>
      <c r="O164" s="9">
        <v>13.2</v>
      </c>
      <c r="P164" s="9">
        <v>0</v>
      </c>
      <c r="Q164" s="9">
        <v>14.43081385403039</v>
      </c>
      <c r="R164" s="9">
        <v>15.105622913089309</v>
      </c>
      <c r="S164" s="9">
        <v>71301</v>
      </c>
      <c r="T164" s="9">
        <v>0</v>
      </c>
      <c r="U164" s="9">
        <v>8.6999999999999993</v>
      </c>
      <c r="V164" s="9">
        <v>0.56999999999999995</v>
      </c>
      <c r="W164" s="9">
        <v>138.19999999999999</v>
      </c>
      <c r="X164" s="9">
        <v>324482.51999999996</v>
      </c>
      <c r="Y164" s="9">
        <v>1168812.67</v>
      </c>
      <c r="Z164" s="9">
        <v>51.2</v>
      </c>
      <c r="AA164" s="9">
        <v>47.3</v>
      </c>
    </row>
    <row r="165" spans="1:27" x14ac:dyDescent="0.25">
      <c r="A165" s="12">
        <v>41790</v>
      </c>
      <c r="B165" s="9">
        <v>0</v>
      </c>
      <c r="C165" s="9">
        <v>95.063275000000004</v>
      </c>
      <c r="D165" s="9">
        <v>95.286474999999996</v>
      </c>
      <c r="E165" s="9">
        <v>97.2</v>
      </c>
      <c r="F165" s="9">
        <v>5.2</v>
      </c>
      <c r="G165" s="9">
        <v>52.7</v>
      </c>
      <c r="H165" s="9">
        <v>12.5143</v>
      </c>
      <c r="I165" s="9">
        <v>0</v>
      </c>
      <c r="J165" s="9">
        <v>2.4773000000000001</v>
      </c>
      <c r="K165" s="9">
        <v>-1.4463999999999999</v>
      </c>
      <c r="L165" s="9">
        <v>1.6468</v>
      </c>
      <c r="M165" s="9">
        <v>-1.8226</v>
      </c>
      <c r="N165" s="9">
        <v>5.7</v>
      </c>
      <c r="O165" s="9">
        <v>13.4</v>
      </c>
      <c r="P165" s="9">
        <v>0</v>
      </c>
      <c r="Q165" s="9">
        <v>15.05076759500133</v>
      </c>
      <c r="R165" s="9">
        <v>15.0320215082173</v>
      </c>
      <c r="S165" s="9">
        <v>85314</v>
      </c>
      <c r="T165" s="9">
        <v>0</v>
      </c>
      <c r="U165" s="9">
        <v>8.8000000000000007</v>
      </c>
      <c r="V165" s="9">
        <v>0.57999999999999996</v>
      </c>
      <c r="W165" s="9">
        <v>144.4</v>
      </c>
      <c r="X165" s="9">
        <v>327839.56</v>
      </c>
      <c r="Y165" s="9">
        <v>1182293.96</v>
      </c>
      <c r="Z165" s="9">
        <v>52.3</v>
      </c>
      <c r="AA165" s="9">
        <v>47.1</v>
      </c>
    </row>
    <row r="166" spans="1:27" x14ac:dyDescent="0.25">
      <c r="A166" s="12">
        <v>41820</v>
      </c>
      <c r="B166" s="9">
        <v>7.7</v>
      </c>
      <c r="C166" s="9">
        <v>96.893231999999998</v>
      </c>
      <c r="D166" s="9">
        <v>97.241971000000007</v>
      </c>
      <c r="E166" s="9">
        <v>97.3</v>
      </c>
      <c r="F166" s="9">
        <v>5.5</v>
      </c>
      <c r="G166" s="9">
        <v>50.7</v>
      </c>
      <c r="H166" s="9">
        <v>12.4</v>
      </c>
      <c r="I166" s="9">
        <v>1.0964</v>
      </c>
      <c r="J166" s="9">
        <v>2.3361000000000001</v>
      </c>
      <c r="K166" s="9">
        <v>-1.1092</v>
      </c>
      <c r="L166" s="9">
        <v>1.6046</v>
      </c>
      <c r="M166" s="9">
        <v>-1.4823</v>
      </c>
      <c r="N166" s="9">
        <v>8.9</v>
      </c>
      <c r="O166" s="9">
        <v>14.7</v>
      </c>
      <c r="P166" s="9">
        <v>0</v>
      </c>
      <c r="Q166" s="9">
        <v>15.66413684459803</v>
      </c>
      <c r="R166" s="9">
        <v>15.17556805798255</v>
      </c>
      <c r="S166" s="9">
        <v>105675</v>
      </c>
      <c r="T166" s="9">
        <v>0</v>
      </c>
      <c r="U166" s="9">
        <v>9.1999999999999993</v>
      </c>
      <c r="V166" s="9">
        <v>0.55000000000000004</v>
      </c>
      <c r="W166" s="9">
        <v>160.5</v>
      </c>
      <c r="X166" s="9">
        <v>341487.45</v>
      </c>
      <c r="Y166" s="9">
        <v>1209587.2</v>
      </c>
      <c r="Z166" s="9">
        <v>52.8</v>
      </c>
      <c r="AA166" s="9">
        <v>47.3</v>
      </c>
    </row>
    <row r="167" spans="1:27" x14ac:dyDescent="0.25">
      <c r="A167" s="12">
        <v>41851</v>
      </c>
      <c r="B167" s="9">
        <v>0</v>
      </c>
      <c r="C167" s="9">
        <v>96.587885</v>
      </c>
      <c r="D167" s="9">
        <v>96.452524999999994</v>
      </c>
      <c r="E167" s="9">
        <v>96.999999999999986</v>
      </c>
      <c r="F167" s="9">
        <v>6</v>
      </c>
      <c r="G167" s="9">
        <v>50.7</v>
      </c>
      <c r="H167" s="9">
        <v>12.2217</v>
      </c>
      <c r="I167" s="9">
        <v>0</v>
      </c>
      <c r="J167" s="9">
        <v>2.2852000000000001</v>
      </c>
      <c r="K167" s="9">
        <v>-0.86880000000000002</v>
      </c>
      <c r="L167" s="9">
        <v>1.5775999999999999</v>
      </c>
      <c r="M167" s="9">
        <v>-1.1175999999999999</v>
      </c>
      <c r="N167" s="9">
        <v>6.7</v>
      </c>
      <c r="O167" s="9">
        <v>13.5</v>
      </c>
      <c r="P167" s="9">
        <v>0</v>
      </c>
      <c r="Q167" s="9">
        <v>15.46147475897704</v>
      </c>
      <c r="R167" s="9">
        <v>14.547872499097419</v>
      </c>
      <c r="S167" s="9">
        <v>108412</v>
      </c>
      <c r="T167" s="9">
        <v>0</v>
      </c>
      <c r="U167" s="9">
        <v>9</v>
      </c>
      <c r="V167" s="9">
        <v>0.76</v>
      </c>
      <c r="W167" s="9">
        <v>147.19999999999999</v>
      </c>
      <c r="X167" s="9">
        <v>331347.32</v>
      </c>
      <c r="Y167" s="9">
        <v>1194249.24</v>
      </c>
      <c r="Z167" s="9">
        <v>53.6</v>
      </c>
      <c r="AA167" s="9">
        <v>47.6</v>
      </c>
    </row>
    <row r="168" spans="1:27" x14ac:dyDescent="0.25">
      <c r="A168" s="12">
        <v>41882</v>
      </c>
      <c r="B168" s="9">
        <v>0</v>
      </c>
      <c r="C168" s="9">
        <v>94.636223999999999</v>
      </c>
      <c r="D168" s="9">
        <v>94.686842999999996</v>
      </c>
      <c r="E168" s="9">
        <v>96.600000000000009</v>
      </c>
      <c r="F168" s="9">
        <v>4.4000000000000004</v>
      </c>
      <c r="G168" s="9">
        <v>50</v>
      </c>
      <c r="H168" s="9">
        <v>11.901400000000001</v>
      </c>
      <c r="I168" s="9">
        <v>0</v>
      </c>
      <c r="J168" s="9">
        <v>1.9908999999999999</v>
      </c>
      <c r="K168" s="9">
        <v>-1.2038</v>
      </c>
      <c r="L168" s="9">
        <v>1.1828000000000001</v>
      </c>
      <c r="M168" s="9">
        <v>-1.3734999999999999</v>
      </c>
      <c r="N168" s="9">
        <v>5.7</v>
      </c>
      <c r="O168" s="9">
        <v>12.8</v>
      </c>
      <c r="P168" s="9">
        <v>0</v>
      </c>
      <c r="Q168" s="9">
        <v>15.444064251701549</v>
      </c>
      <c r="R168" s="9">
        <v>14.409524496291301</v>
      </c>
      <c r="S168" s="9">
        <v>117989</v>
      </c>
      <c r="T168" s="9">
        <v>0</v>
      </c>
      <c r="U168" s="9">
        <v>6.9</v>
      </c>
      <c r="V168" s="9">
        <v>0.13</v>
      </c>
      <c r="W168" s="9">
        <v>147.6</v>
      </c>
      <c r="X168" s="9">
        <v>332023.23000000004</v>
      </c>
      <c r="Y168" s="9">
        <v>1197499.08</v>
      </c>
      <c r="Z168" s="9">
        <v>52.5</v>
      </c>
      <c r="AA168" s="9">
        <v>48.1</v>
      </c>
    </row>
    <row r="169" spans="1:27" x14ac:dyDescent="0.25">
      <c r="A169" s="12">
        <v>41912</v>
      </c>
      <c r="B169" s="9">
        <v>7.3</v>
      </c>
      <c r="C169" s="9">
        <v>94.579359999999994</v>
      </c>
      <c r="D169" s="9">
        <v>94.744071000000005</v>
      </c>
      <c r="E169" s="9">
        <v>96.300000000000011</v>
      </c>
      <c r="F169" s="9">
        <v>5</v>
      </c>
      <c r="G169" s="9">
        <v>49.5</v>
      </c>
      <c r="H169" s="9">
        <v>11.567600000000001</v>
      </c>
      <c r="I169" s="9">
        <v>1.1910000000000001</v>
      </c>
      <c r="J169" s="9">
        <v>1.6274999999999999</v>
      </c>
      <c r="K169" s="9">
        <v>-1.7996000000000001</v>
      </c>
      <c r="L169" s="9">
        <v>0.66320000000000001</v>
      </c>
      <c r="M169" s="9">
        <v>-1.8871</v>
      </c>
      <c r="N169" s="9">
        <v>4.8</v>
      </c>
      <c r="O169" s="9">
        <v>12.9</v>
      </c>
      <c r="P169" s="9">
        <v>0</v>
      </c>
      <c r="Q169" s="9">
        <v>14.188360220913401</v>
      </c>
      <c r="R169" s="9">
        <v>13.98794617326563</v>
      </c>
      <c r="S169" s="9">
        <v>128441</v>
      </c>
      <c r="T169" s="9">
        <v>0</v>
      </c>
      <c r="U169" s="9">
        <v>8</v>
      </c>
      <c r="V169" s="9">
        <v>0.9</v>
      </c>
      <c r="W169" s="9">
        <v>159.5</v>
      </c>
      <c r="X169" s="9">
        <v>327220.21000000002</v>
      </c>
      <c r="Y169" s="9">
        <v>1202051.4099999999</v>
      </c>
      <c r="Z169" s="9">
        <v>52.2</v>
      </c>
      <c r="AA169" s="9">
        <v>47.2</v>
      </c>
    </row>
    <row r="170" spans="1:27" x14ac:dyDescent="0.25">
      <c r="A170" s="12">
        <v>41943</v>
      </c>
      <c r="B170" s="9">
        <v>0</v>
      </c>
      <c r="C170" s="9">
        <v>93.447066000000007</v>
      </c>
      <c r="D170" s="9">
        <v>93.758812000000006</v>
      </c>
      <c r="E170" s="9">
        <v>96.199999999999989</v>
      </c>
      <c r="F170" s="9">
        <v>3.7</v>
      </c>
      <c r="G170" s="9">
        <v>51</v>
      </c>
      <c r="H170" s="9">
        <v>11.520799999999999</v>
      </c>
      <c r="I170" s="9">
        <v>0</v>
      </c>
      <c r="J170" s="9">
        <v>1.6011</v>
      </c>
      <c r="K170" s="9">
        <v>-2.2427999999999999</v>
      </c>
      <c r="L170" s="9">
        <v>0.61370000000000002</v>
      </c>
      <c r="M170" s="9">
        <v>-2.5318999999999998</v>
      </c>
      <c r="N170" s="9">
        <v>3.2</v>
      </c>
      <c r="O170" s="9">
        <v>12.6</v>
      </c>
      <c r="P170" s="9">
        <v>0</v>
      </c>
      <c r="Q170" s="9">
        <v>13.51055740225854</v>
      </c>
      <c r="R170" s="9">
        <v>14.22415278156911</v>
      </c>
      <c r="S170" s="9">
        <v>135248</v>
      </c>
      <c r="T170" s="9">
        <v>0</v>
      </c>
      <c r="U170" s="9">
        <v>7.7</v>
      </c>
      <c r="V170" s="9">
        <v>0.43</v>
      </c>
      <c r="W170" s="9">
        <v>155.19999999999999</v>
      </c>
      <c r="X170" s="9">
        <v>329617.73</v>
      </c>
      <c r="Y170" s="9">
        <v>1199236.31</v>
      </c>
      <c r="Z170" s="9">
        <v>51.6</v>
      </c>
      <c r="AA170" s="9">
        <v>47.9</v>
      </c>
    </row>
    <row r="171" spans="1:27" x14ac:dyDescent="0.25">
      <c r="A171" s="12">
        <v>41973</v>
      </c>
      <c r="B171" s="9">
        <v>0</v>
      </c>
      <c r="C171" s="9">
        <v>89.325591000000003</v>
      </c>
      <c r="D171" s="9">
        <v>91.421361000000005</v>
      </c>
      <c r="E171" s="9">
        <v>96.199999999999989</v>
      </c>
      <c r="F171" s="9">
        <v>3.7</v>
      </c>
      <c r="G171" s="9">
        <v>50.1</v>
      </c>
      <c r="H171" s="9">
        <v>11.720800000000001</v>
      </c>
      <c r="I171" s="9">
        <v>0</v>
      </c>
      <c r="J171" s="9">
        <v>1.4393</v>
      </c>
      <c r="K171" s="9">
        <v>-2.6928000000000001</v>
      </c>
      <c r="L171" s="9">
        <v>0.437</v>
      </c>
      <c r="M171" s="9">
        <v>-3.1612</v>
      </c>
      <c r="N171" s="9">
        <v>3.2</v>
      </c>
      <c r="O171" s="9">
        <v>12.3</v>
      </c>
      <c r="P171" s="9">
        <v>0</v>
      </c>
      <c r="Q171" s="9">
        <v>13.2537350825614</v>
      </c>
      <c r="R171" s="9">
        <v>14.713351527478229</v>
      </c>
      <c r="S171" s="9">
        <v>146707</v>
      </c>
      <c r="T171" s="9">
        <v>0</v>
      </c>
      <c r="U171" s="9">
        <v>7.2</v>
      </c>
      <c r="V171" s="9">
        <v>0.35</v>
      </c>
      <c r="W171" s="9">
        <v>162</v>
      </c>
      <c r="X171" s="9">
        <v>335114.13</v>
      </c>
      <c r="Y171" s="9">
        <v>1208605.95</v>
      </c>
      <c r="Z171" s="9">
        <v>50.9</v>
      </c>
      <c r="AA171" s="9">
        <v>47.2</v>
      </c>
    </row>
    <row r="172" spans="1:27" x14ac:dyDescent="0.25">
      <c r="A172" s="12">
        <v>42004</v>
      </c>
      <c r="B172" s="9">
        <v>7.4</v>
      </c>
      <c r="C172" s="9">
        <v>91.629606999999993</v>
      </c>
      <c r="D172" s="9">
        <v>91.088229999999996</v>
      </c>
      <c r="E172" s="9">
        <v>95.3</v>
      </c>
      <c r="F172" s="9">
        <v>2.6</v>
      </c>
      <c r="G172" s="9">
        <v>50.5</v>
      </c>
      <c r="H172" s="9">
        <v>11.889099999999999</v>
      </c>
      <c r="I172" s="9">
        <v>0.2303</v>
      </c>
      <c r="J172" s="9">
        <v>1.5056</v>
      </c>
      <c r="K172" s="9">
        <v>-3.3151999999999999</v>
      </c>
      <c r="L172" s="9">
        <v>0.36480000000000001</v>
      </c>
      <c r="M172" s="9">
        <v>-3.9927000000000001</v>
      </c>
      <c r="N172" s="9">
        <v>3.2</v>
      </c>
      <c r="O172" s="9">
        <v>12.2</v>
      </c>
      <c r="P172" s="9">
        <v>14.3</v>
      </c>
      <c r="Q172" s="9">
        <v>12.9383918317709</v>
      </c>
      <c r="R172" s="9">
        <v>15.465624691980469</v>
      </c>
      <c r="S172" s="9">
        <v>164571</v>
      </c>
      <c r="T172" s="9">
        <v>122.8591</v>
      </c>
      <c r="U172" s="9">
        <v>7.9</v>
      </c>
      <c r="V172" s="9">
        <v>0.74</v>
      </c>
      <c r="W172" s="9">
        <v>174.8</v>
      </c>
      <c r="X172" s="9">
        <v>348056.41000000003</v>
      </c>
      <c r="Y172" s="9">
        <v>1228374.81</v>
      </c>
      <c r="Z172" s="9">
        <v>50.4</v>
      </c>
      <c r="AA172" s="9">
        <v>47.8</v>
      </c>
    </row>
    <row r="173" spans="1:27" x14ac:dyDescent="0.25">
      <c r="A173" s="12">
        <v>42035</v>
      </c>
      <c r="B173" s="9">
        <v>0</v>
      </c>
      <c r="C173" s="9">
        <v>91.513661999999997</v>
      </c>
      <c r="D173" s="9">
        <v>89.394738000000004</v>
      </c>
      <c r="E173" s="9">
        <v>94.899999999999991</v>
      </c>
      <c r="F173" s="9">
        <v>2.2000000000000002</v>
      </c>
      <c r="G173" s="9">
        <v>50.2</v>
      </c>
      <c r="H173" s="9">
        <v>0</v>
      </c>
      <c r="I173" s="9">
        <v>0</v>
      </c>
      <c r="J173" s="9">
        <v>0.76380000000000003</v>
      </c>
      <c r="K173" s="9">
        <v>-4.3201999999999998</v>
      </c>
      <c r="L173" s="9">
        <v>-0.4456</v>
      </c>
      <c r="M173" s="9">
        <v>-5.1566999999999998</v>
      </c>
      <c r="N173" s="9">
        <v>10.6</v>
      </c>
      <c r="O173" s="9">
        <v>10.8</v>
      </c>
      <c r="P173" s="9">
        <v>0</v>
      </c>
      <c r="Q173" s="9">
        <v>13.33222223595852</v>
      </c>
      <c r="R173" s="9">
        <v>16.853403966045409</v>
      </c>
      <c r="S173" s="9">
        <v>20516</v>
      </c>
      <c r="T173" s="9">
        <v>0</v>
      </c>
      <c r="U173" s="9">
        <v>9.6</v>
      </c>
      <c r="V173" s="9">
        <v>0.45</v>
      </c>
      <c r="W173" s="9">
        <v>141.5</v>
      </c>
      <c r="X173" s="9">
        <v>348106.27999999997</v>
      </c>
      <c r="Y173" s="9">
        <v>1242709.56</v>
      </c>
      <c r="Z173" s="9">
        <v>50.2</v>
      </c>
      <c r="AA173" s="9">
        <v>48</v>
      </c>
    </row>
    <row r="174" spans="1:27" x14ac:dyDescent="0.25">
      <c r="A174" s="12">
        <v>42063</v>
      </c>
      <c r="B174" s="9">
        <v>0</v>
      </c>
      <c r="C174" s="9">
        <v>89.873512000000005</v>
      </c>
      <c r="D174" s="9">
        <v>88.23057</v>
      </c>
      <c r="E174" s="9">
        <v>93.98</v>
      </c>
      <c r="F174" s="9">
        <v>3.4</v>
      </c>
      <c r="G174" s="9">
        <v>51.2</v>
      </c>
      <c r="H174" s="9">
        <v>10.7142</v>
      </c>
      <c r="I174" s="9">
        <v>0</v>
      </c>
      <c r="J174" s="9">
        <v>1.4311</v>
      </c>
      <c r="K174" s="9">
        <v>-4.7976000000000001</v>
      </c>
      <c r="L174" s="9">
        <v>-6.0699999999999997E-2</v>
      </c>
      <c r="M174" s="9">
        <v>-5.8520000000000003</v>
      </c>
      <c r="N174" s="9">
        <v>5.6</v>
      </c>
      <c r="O174" s="9">
        <v>12.5</v>
      </c>
      <c r="P174" s="9">
        <v>0</v>
      </c>
      <c r="Q174" s="9">
        <v>12.05978418626251</v>
      </c>
      <c r="R174" s="9">
        <v>17.254956102961259</v>
      </c>
      <c r="S174" s="9">
        <v>34125</v>
      </c>
      <c r="T174" s="9">
        <v>0</v>
      </c>
      <c r="U174" s="9">
        <v>3.6</v>
      </c>
      <c r="V174" s="9">
        <v>0.42</v>
      </c>
      <c r="W174" s="9">
        <v>118.2</v>
      </c>
      <c r="X174" s="9">
        <v>334439.22000000003</v>
      </c>
      <c r="Y174" s="9">
        <v>1257384.48</v>
      </c>
      <c r="Z174" s="9">
        <v>50.4</v>
      </c>
      <c r="AA174" s="9">
        <v>47</v>
      </c>
    </row>
    <row r="175" spans="1:27" x14ac:dyDescent="0.25">
      <c r="A175" s="12">
        <v>42094</v>
      </c>
      <c r="B175" s="9">
        <v>7.1</v>
      </c>
      <c r="C175" s="9">
        <v>89.034105999999994</v>
      </c>
      <c r="D175" s="9">
        <v>87.299841000000001</v>
      </c>
      <c r="E175" s="9">
        <v>94.93</v>
      </c>
      <c r="F175" s="9">
        <v>1.6</v>
      </c>
      <c r="G175" s="9">
        <v>50.3</v>
      </c>
      <c r="H175" s="9">
        <v>10.2445</v>
      </c>
      <c r="I175" s="9">
        <v>-0.315</v>
      </c>
      <c r="J175" s="9">
        <v>1.3757999999999999</v>
      </c>
      <c r="K175" s="9">
        <v>-4.5602999999999998</v>
      </c>
      <c r="L175" s="9">
        <v>-7.6E-3</v>
      </c>
      <c r="M175" s="9">
        <v>-5.6752000000000002</v>
      </c>
      <c r="N175" s="9">
        <v>2.9</v>
      </c>
      <c r="O175" s="9">
        <v>11.6</v>
      </c>
      <c r="P175" s="9">
        <v>13</v>
      </c>
      <c r="Q175" s="9">
        <v>11.602839539275969</v>
      </c>
      <c r="R175" s="9">
        <v>17.468128176228898</v>
      </c>
      <c r="S175" s="9">
        <v>46071</v>
      </c>
      <c r="T175" s="9">
        <v>127.58</v>
      </c>
      <c r="U175" s="9">
        <v>5.6</v>
      </c>
      <c r="V175" s="9">
        <v>0.28000000000000003</v>
      </c>
      <c r="W175" s="9">
        <v>157.6</v>
      </c>
      <c r="X175" s="9">
        <v>337210.52</v>
      </c>
      <c r="Y175" s="9">
        <v>1275332.78</v>
      </c>
      <c r="Z175" s="9">
        <v>50.2</v>
      </c>
      <c r="AA175" s="9">
        <v>48.6</v>
      </c>
    </row>
    <row r="176" spans="1:27" x14ac:dyDescent="0.25">
      <c r="A176" s="12">
        <v>42124</v>
      </c>
      <c r="B176" s="9">
        <v>0</v>
      </c>
      <c r="C176" s="9">
        <v>87.861129000000005</v>
      </c>
      <c r="D176" s="9">
        <v>87.997499000000005</v>
      </c>
      <c r="E176" s="9">
        <v>94.22</v>
      </c>
      <c r="F176" s="9">
        <v>2.2000000000000002</v>
      </c>
      <c r="G176" s="9">
        <v>49.1</v>
      </c>
      <c r="H176" s="9">
        <v>10.0024</v>
      </c>
      <c r="I176" s="9">
        <v>0</v>
      </c>
      <c r="J176" s="9">
        <v>1.5091000000000001</v>
      </c>
      <c r="K176" s="9">
        <v>-4.5724999999999998</v>
      </c>
      <c r="L176" s="9">
        <v>0.1056</v>
      </c>
      <c r="M176" s="9">
        <v>-5.5380000000000003</v>
      </c>
      <c r="N176" s="9">
        <v>3.7</v>
      </c>
      <c r="O176" s="9">
        <v>10.1</v>
      </c>
      <c r="P176" s="9">
        <v>0</v>
      </c>
      <c r="Q176" s="9">
        <v>11.659859220523609</v>
      </c>
      <c r="R176" s="9">
        <v>18.015804902283481</v>
      </c>
      <c r="S176" s="9">
        <v>56653</v>
      </c>
      <c r="T176" s="9">
        <v>0</v>
      </c>
      <c r="U176" s="9">
        <v>5.9</v>
      </c>
      <c r="V176" s="9">
        <v>0.52</v>
      </c>
      <c r="W176" s="9">
        <v>146.4</v>
      </c>
      <c r="X176" s="9">
        <v>336388.24</v>
      </c>
      <c r="Y176" s="9">
        <v>1280779.1399999999</v>
      </c>
      <c r="Z176" s="9">
        <v>50.2</v>
      </c>
      <c r="AA176" s="9">
        <v>48</v>
      </c>
    </row>
    <row r="177" spans="1:27" x14ac:dyDescent="0.25">
      <c r="A177" s="12">
        <v>42155</v>
      </c>
      <c r="B177" s="9">
        <v>0</v>
      </c>
      <c r="C177" s="9">
        <v>86.548519999999996</v>
      </c>
      <c r="D177" s="9">
        <v>87.213533999999996</v>
      </c>
      <c r="E177" s="9">
        <v>94.509999999999991</v>
      </c>
      <c r="F177" s="9">
        <v>3.1</v>
      </c>
      <c r="G177" s="9">
        <v>49.5</v>
      </c>
      <c r="H177" s="9">
        <v>10.1302</v>
      </c>
      <c r="I177" s="9">
        <v>0</v>
      </c>
      <c r="J177" s="9">
        <v>1.2307999999999999</v>
      </c>
      <c r="K177" s="9">
        <v>-4.6070000000000002</v>
      </c>
      <c r="L177" s="9">
        <v>-8.2000000000000003E-2</v>
      </c>
      <c r="M177" s="9">
        <v>-5.4775</v>
      </c>
      <c r="N177" s="9">
        <v>4.7</v>
      </c>
      <c r="O177" s="9">
        <v>10.8</v>
      </c>
      <c r="P177" s="9">
        <v>0</v>
      </c>
      <c r="Q177" s="9">
        <v>12.619762142530259</v>
      </c>
      <c r="R177" s="9">
        <v>18.79120301392549</v>
      </c>
      <c r="S177" s="9">
        <v>69050</v>
      </c>
      <c r="T177" s="9">
        <v>0</v>
      </c>
      <c r="U177" s="9">
        <v>6.1</v>
      </c>
      <c r="V177" s="9">
        <v>0.51</v>
      </c>
      <c r="W177" s="9">
        <v>153.19999999999999</v>
      </c>
      <c r="X177" s="9">
        <v>343085.86</v>
      </c>
      <c r="Y177" s="9">
        <v>1307357.6299999999</v>
      </c>
      <c r="Z177" s="9">
        <v>50.6</v>
      </c>
      <c r="AA177" s="9">
        <v>47.5</v>
      </c>
    </row>
    <row r="178" spans="1:27" x14ac:dyDescent="0.25">
      <c r="A178" s="12">
        <v>42185</v>
      </c>
      <c r="B178" s="9">
        <v>7.1</v>
      </c>
      <c r="C178" s="9">
        <v>87.071826999999999</v>
      </c>
      <c r="D178" s="9">
        <v>87.394461000000007</v>
      </c>
      <c r="E178" s="9">
        <v>94.551699999999997</v>
      </c>
      <c r="F178" s="9">
        <v>2.4</v>
      </c>
      <c r="G178" s="9">
        <v>51.3</v>
      </c>
      <c r="H178" s="9">
        <v>10.632</v>
      </c>
      <c r="I178" s="9">
        <v>0.1419</v>
      </c>
      <c r="J178" s="9">
        <v>1.3909</v>
      </c>
      <c r="K178" s="9">
        <v>-4.8135000000000003</v>
      </c>
      <c r="L178" s="9">
        <v>4.7500000000000001E-2</v>
      </c>
      <c r="M178" s="9">
        <v>-5.5787000000000004</v>
      </c>
      <c r="N178" s="9">
        <v>4.3</v>
      </c>
      <c r="O178" s="9">
        <v>11.8</v>
      </c>
      <c r="P178" s="9">
        <v>11.9</v>
      </c>
      <c r="Q178" s="9">
        <v>12.345325086255119</v>
      </c>
      <c r="R178" s="9">
        <v>19.683231248192669</v>
      </c>
      <c r="S178" s="9">
        <v>88068</v>
      </c>
      <c r="T178" s="9">
        <v>131.58000000000001</v>
      </c>
      <c r="U178" s="9">
        <v>6.8</v>
      </c>
      <c r="V178" s="9">
        <v>0.71</v>
      </c>
      <c r="W178" s="9">
        <v>171.4</v>
      </c>
      <c r="X178" s="9">
        <v>356082.86</v>
      </c>
      <c r="Y178" s="9">
        <v>1333375.3599999999</v>
      </c>
      <c r="Z178" s="9">
        <v>50.1</v>
      </c>
      <c r="AA178" s="9">
        <v>47.7</v>
      </c>
    </row>
    <row r="179" spans="1:27" x14ac:dyDescent="0.25">
      <c r="A179" s="12">
        <v>42216</v>
      </c>
      <c r="B179" s="9">
        <v>0</v>
      </c>
      <c r="C179" s="9">
        <v>86.163025000000005</v>
      </c>
      <c r="D179" s="9">
        <v>88.026611000000003</v>
      </c>
      <c r="E179" s="9">
        <v>94.509999999999991</v>
      </c>
      <c r="F179" s="9">
        <v>2.5</v>
      </c>
      <c r="G179" s="9">
        <v>50.1</v>
      </c>
      <c r="H179" s="9">
        <v>10.5123</v>
      </c>
      <c r="I179" s="9">
        <v>0</v>
      </c>
      <c r="J179" s="9">
        <v>1.6473</v>
      </c>
      <c r="K179" s="9">
        <v>-5.3692000000000002</v>
      </c>
      <c r="L179" s="9">
        <v>0.1885</v>
      </c>
      <c r="M179" s="9">
        <v>-6.0654000000000003</v>
      </c>
      <c r="N179" s="9">
        <v>6.6</v>
      </c>
      <c r="O179" s="9">
        <v>13.3</v>
      </c>
      <c r="P179" s="9">
        <v>0</v>
      </c>
      <c r="Q179" s="9">
        <v>14.549496665371541</v>
      </c>
      <c r="R179" s="9">
        <v>21.782184020415361</v>
      </c>
      <c r="S179" s="9">
        <v>95579</v>
      </c>
      <c r="T179" s="9">
        <v>0</v>
      </c>
      <c r="U179" s="9">
        <v>6</v>
      </c>
      <c r="V179" s="9">
        <v>0.2</v>
      </c>
      <c r="W179" s="9">
        <v>156</v>
      </c>
      <c r="X179" s="9">
        <v>353122.19</v>
      </c>
      <c r="Y179" s="9">
        <v>1353210.92</v>
      </c>
      <c r="Z179" s="9">
        <v>49.9</v>
      </c>
      <c r="AA179" s="9">
        <v>47.4</v>
      </c>
    </row>
    <row r="180" spans="1:27" x14ac:dyDescent="0.25">
      <c r="A180" s="12">
        <v>42247</v>
      </c>
      <c r="B180" s="9">
        <v>0</v>
      </c>
      <c r="C180" s="9">
        <v>84.966075000000004</v>
      </c>
      <c r="D180" s="9">
        <v>85.313625000000002</v>
      </c>
      <c r="E180" s="9">
        <v>94.04</v>
      </c>
      <c r="F180" s="9">
        <v>2.5</v>
      </c>
      <c r="G180" s="9">
        <v>49.6</v>
      </c>
      <c r="H180" s="9">
        <v>10.792299999999999</v>
      </c>
      <c r="I180" s="9">
        <v>0</v>
      </c>
      <c r="J180" s="9">
        <v>1.9554</v>
      </c>
      <c r="K180" s="9">
        <v>-5.9226999999999999</v>
      </c>
      <c r="L180" s="9">
        <v>0.40060000000000001</v>
      </c>
      <c r="M180" s="9">
        <v>-6.6025</v>
      </c>
      <c r="N180" s="9">
        <v>9.3000000000000007</v>
      </c>
      <c r="O180" s="9">
        <v>13.3</v>
      </c>
      <c r="P180" s="9">
        <v>0</v>
      </c>
      <c r="Q180" s="9">
        <v>15.193734677439551</v>
      </c>
      <c r="R180" s="9">
        <v>22.03098940633306</v>
      </c>
      <c r="S180" s="9">
        <v>106676</v>
      </c>
      <c r="T180" s="9">
        <v>0</v>
      </c>
      <c r="U180" s="9">
        <v>6.1</v>
      </c>
      <c r="V180" s="9">
        <v>0.5</v>
      </c>
      <c r="W180" s="9">
        <v>156.6</v>
      </c>
      <c r="X180" s="9">
        <v>362793.73</v>
      </c>
      <c r="Y180" s="9">
        <v>1356907.98</v>
      </c>
      <c r="Z180" s="9">
        <v>49.7</v>
      </c>
      <c r="AA180" s="9">
        <v>47.2</v>
      </c>
    </row>
    <row r="181" spans="1:27" x14ac:dyDescent="0.25">
      <c r="A181" s="12">
        <v>42277</v>
      </c>
      <c r="B181" s="9">
        <v>7</v>
      </c>
      <c r="C181" s="9">
        <v>85.902452999999994</v>
      </c>
      <c r="D181" s="9">
        <v>85.660374000000004</v>
      </c>
      <c r="E181" s="9">
        <v>93.781199999999998</v>
      </c>
      <c r="F181" s="9">
        <v>3.4</v>
      </c>
      <c r="G181" s="9">
        <v>50.2</v>
      </c>
      <c r="H181" s="9">
        <v>10.9</v>
      </c>
      <c r="I181" s="9">
        <v>-0.86370000000000002</v>
      </c>
      <c r="J181" s="9">
        <v>1.5955999999999999</v>
      </c>
      <c r="K181" s="9">
        <v>-5.9450000000000003</v>
      </c>
      <c r="L181" s="9">
        <v>8.5400000000000004E-2</v>
      </c>
      <c r="M181" s="9">
        <v>-6.8383000000000003</v>
      </c>
      <c r="N181" s="9">
        <v>11.4</v>
      </c>
      <c r="O181" s="9">
        <v>13.1</v>
      </c>
      <c r="P181" s="9">
        <v>12.5</v>
      </c>
      <c r="Q181" s="9">
        <v>14.891434481898481</v>
      </c>
      <c r="R181" s="9">
        <v>21.967818960871021</v>
      </c>
      <c r="S181" s="9">
        <v>119408</v>
      </c>
      <c r="T181" s="9">
        <v>134.70320000000001</v>
      </c>
      <c r="U181" s="9">
        <v>5.7</v>
      </c>
      <c r="V181" s="9">
        <v>0.52</v>
      </c>
      <c r="W181" s="9">
        <v>168.6</v>
      </c>
      <c r="X181" s="9">
        <v>364416.89999999997</v>
      </c>
      <c r="Y181" s="9">
        <v>1359824.06</v>
      </c>
      <c r="Z181" s="9">
        <v>50.2</v>
      </c>
      <c r="AA181" s="9">
        <v>46.8</v>
      </c>
    </row>
    <row r="182" spans="1:27" x14ac:dyDescent="0.25">
      <c r="A182" s="12">
        <v>42308</v>
      </c>
      <c r="B182" s="9">
        <v>0</v>
      </c>
      <c r="C182" s="9">
        <v>84.347455999999994</v>
      </c>
      <c r="D182" s="9">
        <v>84.525637000000003</v>
      </c>
      <c r="E182" s="9">
        <v>93.867699999999999</v>
      </c>
      <c r="F182" s="9">
        <v>3.1</v>
      </c>
      <c r="G182" s="9">
        <v>51.2</v>
      </c>
      <c r="H182" s="9">
        <v>11.023400000000001</v>
      </c>
      <c r="I182" s="9">
        <v>0</v>
      </c>
      <c r="J182" s="9">
        <v>1.2674000000000001</v>
      </c>
      <c r="K182" s="9">
        <v>-5.9</v>
      </c>
      <c r="L182" s="9">
        <v>-1.7299999999999999E-2</v>
      </c>
      <c r="M182" s="9">
        <v>-6.9</v>
      </c>
      <c r="N182" s="9">
        <v>14</v>
      </c>
      <c r="O182" s="9">
        <v>13.5</v>
      </c>
      <c r="P182" s="9">
        <v>0</v>
      </c>
      <c r="Q182" s="9">
        <v>15.76803400524896</v>
      </c>
      <c r="R182" s="9">
        <v>21.894258104639562</v>
      </c>
      <c r="S182" s="9">
        <v>125001</v>
      </c>
      <c r="T182" s="9">
        <v>0</v>
      </c>
      <c r="U182" s="9">
        <v>5.6</v>
      </c>
      <c r="V182" s="9">
        <v>0.4</v>
      </c>
      <c r="W182" s="9">
        <v>163.9</v>
      </c>
      <c r="X182" s="9">
        <v>375806.45</v>
      </c>
      <c r="Y182" s="9">
        <v>1361020.7</v>
      </c>
      <c r="Z182" s="9">
        <v>50.3</v>
      </c>
      <c r="AA182" s="9">
        <v>47.2</v>
      </c>
    </row>
    <row r="183" spans="1:27" x14ac:dyDescent="0.25">
      <c r="A183" s="12">
        <v>42338</v>
      </c>
      <c r="B183" s="9">
        <v>0</v>
      </c>
      <c r="C183" s="9">
        <v>86.070254000000006</v>
      </c>
      <c r="D183" s="9">
        <v>85.490937000000002</v>
      </c>
      <c r="E183" s="9">
        <v>93.988399999999999</v>
      </c>
      <c r="F183" s="9">
        <v>3.1</v>
      </c>
      <c r="G183" s="9">
        <v>50.2</v>
      </c>
      <c r="H183" s="9">
        <v>11.1722</v>
      </c>
      <c r="I183" s="9">
        <v>0</v>
      </c>
      <c r="J183" s="9">
        <v>1.4856</v>
      </c>
      <c r="K183" s="9">
        <v>-5.9</v>
      </c>
      <c r="L183" s="9">
        <v>0.22209999999999999</v>
      </c>
      <c r="M183" s="9">
        <v>-6.9</v>
      </c>
      <c r="N183" s="9">
        <v>15.7</v>
      </c>
      <c r="O183" s="9">
        <v>13.7</v>
      </c>
      <c r="P183" s="9">
        <v>0</v>
      </c>
      <c r="Q183" s="9">
        <v>15.59604618887122</v>
      </c>
      <c r="R183" s="9">
        <v>22.426380883856499</v>
      </c>
      <c r="S183" s="9">
        <v>135256</v>
      </c>
      <c r="T183" s="9">
        <v>0</v>
      </c>
      <c r="U183" s="9">
        <v>6.2</v>
      </c>
      <c r="V183" s="9">
        <v>0.57999999999999996</v>
      </c>
      <c r="W183" s="9">
        <v>172</v>
      </c>
      <c r="X183" s="9">
        <v>387618.31999999995</v>
      </c>
      <c r="Y183" s="9">
        <v>1373956.01</v>
      </c>
      <c r="Z183" s="9">
        <v>49.8</v>
      </c>
      <c r="AA183" s="9">
        <v>46.7</v>
      </c>
    </row>
    <row r="184" spans="1:27" x14ac:dyDescent="0.25">
      <c r="A184" s="12">
        <v>42369</v>
      </c>
      <c r="B184" s="9">
        <v>6.9</v>
      </c>
      <c r="C184" s="9">
        <v>78.834090000000003</v>
      </c>
      <c r="D184" s="9">
        <v>80.912233000000001</v>
      </c>
      <c r="E184" s="9">
        <v>98.803399999999996</v>
      </c>
      <c r="F184" s="9">
        <v>4.0999999999999996</v>
      </c>
      <c r="G184" s="9">
        <v>51.7</v>
      </c>
      <c r="H184" s="9">
        <v>11.1</v>
      </c>
      <c r="I184" s="9">
        <v>-0.33639999999999998</v>
      </c>
      <c r="J184" s="9">
        <v>1.6</v>
      </c>
      <c r="K184" s="9">
        <v>-5.9</v>
      </c>
      <c r="L184" s="9">
        <v>0.43719999999999998</v>
      </c>
      <c r="M184" s="9">
        <v>-6.8</v>
      </c>
      <c r="N184" s="9">
        <v>15.2</v>
      </c>
      <c r="O184" s="9">
        <v>13.3</v>
      </c>
      <c r="P184" s="9">
        <v>12.4</v>
      </c>
      <c r="Q184" s="9">
        <v>15.651679632876069</v>
      </c>
      <c r="R184" s="9">
        <v>22.781300793763151</v>
      </c>
      <c r="S184" s="9">
        <v>154086</v>
      </c>
      <c r="T184" s="9">
        <v>138.13829999999999</v>
      </c>
      <c r="U184" s="9">
        <v>5.9</v>
      </c>
      <c r="V184" s="9">
        <v>0.49</v>
      </c>
      <c r="W184" s="9">
        <v>185.1</v>
      </c>
      <c r="X184" s="9">
        <v>400953.44</v>
      </c>
      <c r="Y184" s="9">
        <v>1392278.11</v>
      </c>
      <c r="Z184" s="9">
        <v>50.2</v>
      </c>
      <c r="AA184" s="9">
        <v>46.1</v>
      </c>
    </row>
    <row r="185" spans="1:27" x14ac:dyDescent="0.25">
      <c r="A185" s="12">
        <v>42400</v>
      </c>
      <c r="B185" s="9">
        <v>0</v>
      </c>
      <c r="C185" s="9">
        <v>79.303993000000006</v>
      </c>
      <c r="D185" s="9">
        <v>80.726999000000006</v>
      </c>
      <c r="E185" s="9">
        <v>98.8</v>
      </c>
      <c r="F185" s="9">
        <v>4.9000000000000004</v>
      </c>
      <c r="G185" s="9">
        <v>49.6</v>
      </c>
      <c r="H185" s="9">
        <v>0</v>
      </c>
      <c r="I185" s="9">
        <v>0</v>
      </c>
      <c r="J185" s="9">
        <v>1.8</v>
      </c>
      <c r="K185" s="9">
        <v>-5.3</v>
      </c>
      <c r="L185" s="9">
        <v>0.2</v>
      </c>
      <c r="M185" s="9">
        <v>-6.3</v>
      </c>
      <c r="N185" s="9">
        <v>18.600000000000001</v>
      </c>
      <c r="O185" s="9">
        <v>14</v>
      </c>
      <c r="P185" s="9">
        <v>13.1</v>
      </c>
      <c r="Q185" s="9">
        <v>16.797557636011589</v>
      </c>
      <c r="R185" s="9">
        <v>22.915676870968699</v>
      </c>
      <c r="S185" s="9">
        <v>34758</v>
      </c>
      <c r="T185" s="9">
        <v>141.57</v>
      </c>
      <c r="U185" s="9">
        <v>5.8657240000000002</v>
      </c>
      <c r="V185" s="9">
        <v>0.45</v>
      </c>
      <c r="W185" s="9">
        <v>149.80000000000001</v>
      </c>
      <c r="X185" s="9">
        <v>412685.63999999996</v>
      </c>
      <c r="Y185" s="9">
        <v>1416319.5499999998</v>
      </c>
      <c r="Z185" s="9">
        <v>49.5</v>
      </c>
      <c r="AA185" s="9">
        <v>44.6</v>
      </c>
    </row>
    <row r="186" spans="1:27" x14ac:dyDescent="0.25">
      <c r="A186" s="12">
        <v>42429</v>
      </c>
      <c r="B186" s="9">
        <v>0</v>
      </c>
      <c r="C186" s="9">
        <v>81.618758999999997</v>
      </c>
      <c r="D186" s="9">
        <v>82.120465999999993</v>
      </c>
      <c r="E186" s="9">
        <v>98.899999999999991</v>
      </c>
      <c r="F186" s="9">
        <v>2.2000000000000002</v>
      </c>
      <c r="G186" s="9">
        <v>48.7</v>
      </c>
      <c r="H186" s="9">
        <v>10.199999999999999</v>
      </c>
      <c r="I186" s="9">
        <v>0</v>
      </c>
      <c r="J186" s="9">
        <v>2.2999999999999998</v>
      </c>
      <c r="K186" s="9">
        <v>-4.9000000000000004</v>
      </c>
      <c r="L186" s="9">
        <v>0.9</v>
      </c>
      <c r="M186" s="9">
        <v>-5.8</v>
      </c>
      <c r="N186" s="9">
        <v>17.399999999999999</v>
      </c>
      <c r="O186" s="9">
        <v>13.3</v>
      </c>
      <c r="P186" s="9">
        <v>12.7</v>
      </c>
      <c r="Q186" s="9">
        <v>16.87224618969924</v>
      </c>
      <c r="R186" s="9">
        <v>22.80513374335229</v>
      </c>
      <c r="S186" s="9">
        <v>43070</v>
      </c>
      <c r="T186" s="9">
        <v>142.52000000000001</v>
      </c>
      <c r="U186" s="9">
        <v>4.9069370000000001</v>
      </c>
      <c r="V186" s="9">
        <v>0.39</v>
      </c>
      <c r="W186" s="9">
        <v>124</v>
      </c>
      <c r="X186" s="9">
        <v>392504.7</v>
      </c>
      <c r="Y186" s="9">
        <v>1424618.68</v>
      </c>
      <c r="Z186" s="9">
        <v>48.6</v>
      </c>
      <c r="AA186" s="9">
        <v>46.4</v>
      </c>
    </row>
    <row r="187" spans="1:27" x14ac:dyDescent="0.25">
      <c r="A187" s="12">
        <v>42460</v>
      </c>
      <c r="B187" s="9">
        <v>6.8</v>
      </c>
      <c r="C187" s="9">
        <v>86.348718000000005</v>
      </c>
      <c r="D187" s="9">
        <v>88.265682999999996</v>
      </c>
      <c r="E187" s="9">
        <v>99.100000000000009</v>
      </c>
      <c r="F187" s="9">
        <v>5.4</v>
      </c>
      <c r="G187" s="9">
        <v>50.8</v>
      </c>
      <c r="H187" s="9">
        <v>10.5</v>
      </c>
      <c r="I187" s="9">
        <v>0.29170000000000001</v>
      </c>
      <c r="J187" s="9">
        <v>2.3013910000000002</v>
      </c>
      <c r="K187" s="9">
        <v>-4.3</v>
      </c>
      <c r="L187" s="9">
        <v>0.73089999999999999</v>
      </c>
      <c r="M187" s="9">
        <v>-5.2</v>
      </c>
      <c r="N187" s="9">
        <v>22.1</v>
      </c>
      <c r="O187" s="9">
        <v>13.4</v>
      </c>
      <c r="P187" s="9">
        <v>13.4</v>
      </c>
      <c r="Q187" s="9">
        <v>15.976163752150081</v>
      </c>
      <c r="R187" s="9">
        <v>23.022203193749871</v>
      </c>
      <c r="S187" s="9">
        <v>65859</v>
      </c>
      <c r="T187" s="9">
        <v>144.75</v>
      </c>
      <c r="U187" s="9">
        <v>6.8</v>
      </c>
      <c r="V187" s="9">
        <v>0.62</v>
      </c>
      <c r="W187" s="9">
        <v>168.3</v>
      </c>
      <c r="X187" s="9">
        <v>411581.30999999994</v>
      </c>
      <c r="Y187" s="9">
        <v>1446198.03</v>
      </c>
      <c r="Z187" s="9">
        <v>51.4</v>
      </c>
      <c r="AA187" s="9">
        <v>46</v>
      </c>
    </row>
    <row r="188" spans="1:27" x14ac:dyDescent="0.25">
      <c r="A188" s="12">
        <v>42490</v>
      </c>
      <c r="B188" s="9">
        <v>0</v>
      </c>
      <c r="C188" s="9">
        <v>87.955618000000001</v>
      </c>
      <c r="D188" s="9">
        <v>88.821066000000002</v>
      </c>
      <c r="E188" s="9">
        <v>99.3</v>
      </c>
      <c r="F188" s="9">
        <v>5.5</v>
      </c>
      <c r="G188" s="9">
        <v>48.7</v>
      </c>
      <c r="H188" s="9">
        <v>10.1</v>
      </c>
      <c r="I188" s="9">
        <v>0</v>
      </c>
      <c r="J188" s="9">
        <v>2.3278650000000001</v>
      </c>
      <c r="K188" s="9">
        <v>-3.4</v>
      </c>
      <c r="L188" s="9">
        <v>0.74309999999999998</v>
      </c>
      <c r="M188" s="9">
        <v>-4.4000000000000004</v>
      </c>
      <c r="N188" s="9">
        <v>22.9</v>
      </c>
      <c r="O188" s="9">
        <v>12.8</v>
      </c>
      <c r="P188" s="9">
        <v>13.1</v>
      </c>
      <c r="Q188" s="9">
        <v>15.50906218233286</v>
      </c>
      <c r="R188" s="9">
        <v>23.097550138628218</v>
      </c>
      <c r="S188" s="9">
        <v>73668</v>
      </c>
      <c r="T188" s="9">
        <v>145.59</v>
      </c>
      <c r="U188" s="9">
        <v>6</v>
      </c>
      <c r="V188" s="9">
        <v>0.42</v>
      </c>
      <c r="W188" s="9">
        <v>155.19999999999999</v>
      </c>
      <c r="X188" s="9">
        <v>413504.83999999991</v>
      </c>
      <c r="Y188" s="9">
        <v>1445209.59</v>
      </c>
      <c r="Z188" s="9">
        <v>51</v>
      </c>
      <c r="AA188" s="9">
        <v>45.5</v>
      </c>
    </row>
    <row r="189" spans="1:27" x14ac:dyDescent="0.25">
      <c r="A189" s="12">
        <v>42521</v>
      </c>
      <c r="B189" s="9">
        <v>0</v>
      </c>
      <c r="C189" s="9">
        <v>90.210534999999993</v>
      </c>
      <c r="D189" s="9">
        <v>88.981521999999998</v>
      </c>
      <c r="E189" s="9">
        <v>99.2</v>
      </c>
      <c r="F189" s="9">
        <v>3.9</v>
      </c>
      <c r="G189" s="9">
        <v>49.2</v>
      </c>
      <c r="H189" s="9">
        <v>10</v>
      </c>
      <c r="I189" s="9">
        <v>0</v>
      </c>
      <c r="J189" s="9">
        <v>2.038999</v>
      </c>
      <c r="K189" s="9">
        <v>-2.8</v>
      </c>
      <c r="L189" s="9">
        <v>0.2893</v>
      </c>
      <c r="M189" s="9">
        <v>-3.8</v>
      </c>
      <c r="N189" s="9">
        <v>23.7</v>
      </c>
      <c r="O189" s="9">
        <v>11.8</v>
      </c>
      <c r="P189" s="9">
        <v>12.6</v>
      </c>
      <c r="Q189" s="9">
        <v>14.5430609222712</v>
      </c>
      <c r="R189" s="9">
        <v>22.671512918994591</v>
      </c>
      <c r="S189" s="9">
        <v>80438</v>
      </c>
      <c r="T189" s="9">
        <v>146.33000000000001</v>
      </c>
      <c r="U189" s="9">
        <v>6</v>
      </c>
      <c r="V189" s="9">
        <v>0.45</v>
      </c>
      <c r="W189" s="9">
        <v>162.4</v>
      </c>
      <c r="X189" s="9">
        <v>424250.69999999995</v>
      </c>
      <c r="Y189" s="9">
        <v>1461695.1099999999</v>
      </c>
      <c r="Z189" s="9">
        <v>50.7</v>
      </c>
      <c r="AA189" s="9">
        <v>46.8</v>
      </c>
    </row>
    <row r="190" spans="1:27" x14ac:dyDescent="0.25">
      <c r="A190" s="12">
        <v>42551</v>
      </c>
      <c r="B190" s="9">
        <v>6.7</v>
      </c>
      <c r="C190" s="9">
        <v>86.135198000000003</v>
      </c>
      <c r="D190" s="9">
        <v>89.081877000000006</v>
      </c>
      <c r="E190" s="9">
        <v>99.2</v>
      </c>
      <c r="F190" s="9">
        <v>4</v>
      </c>
      <c r="G190" s="9">
        <v>50.8</v>
      </c>
      <c r="H190" s="9">
        <v>10.6</v>
      </c>
      <c r="I190" s="9">
        <v>0.58320000000000005</v>
      </c>
      <c r="J190" s="9">
        <v>1.8795029999999999</v>
      </c>
      <c r="K190" s="9">
        <v>-2.6</v>
      </c>
      <c r="L190" s="9">
        <v>0.26869999999999999</v>
      </c>
      <c r="M190" s="9">
        <v>-3.4</v>
      </c>
      <c r="N190" s="9">
        <v>24.6</v>
      </c>
      <c r="O190" s="9">
        <v>11.8</v>
      </c>
      <c r="P190" s="9">
        <v>12.4</v>
      </c>
      <c r="Q190" s="9">
        <v>15.420353989831231</v>
      </c>
      <c r="R190" s="9">
        <v>22.16384411486494</v>
      </c>
      <c r="S190" s="9">
        <v>97539</v>
      </c>
      <c r="T190" s="9">
        <v>147.99</v>
      </c>
      <c r="U190" s="9">
        <v>6.2</v>
      </c>
      <c r="V190" s="9">
        <v>0.5</v>
      </c>
      <c r="W190" s="9">
        <v>182</v>
      </c>
      <c r="X190" s="9">
        <v>443643.7</v>
      </c>
      <c r="Y190" s="9">
        <v>1490491.8299999998</v>
      </c>
      <c r="Z190" s="9">
        <v>50.5</v>
      </c>
      <c r="AA190" s="9">
        <v>46.5</v>
      </c>
    </row>
    <row r="191" spans="1:27" x14ac:dyDescent="0.25">
      <c r="A191" s="12">
        <v>42582</v>
      </c>
      <c r="B191" s="9">
        <v>0</v>
      </c>
      <c r="C191" s="9">
        <v>90.110909000000007</v>
      </c>
      <c r="D191" s="9">
        <v>89.325317999999996</v>
      </c>
      <c r="E191" s="9">
        <v>99.2</v>
      </c>
      <c r="F191" s="9">
        <v>3.6</v>
      </c>
      <c r="G191" s="9">
        <v>49.9</v>
      </c>
      <c r="H191" s="9">
        <v>10.199999999999999</v>
      </c>
      <c r="I191" s="9">
        <v>0</v>
      </c>
      <c r="J191" s="9">
        <v>1.7651129999999999</v>
      </c>
      <c r="K191" s="9">
        <v>-1.7</v>
      </c>
      <c r="L191" s="9">
        <v>0.36</v>
      </c>
      <c r="M191" s="9">
        <v>-2.6</v>
      </c>
      <c r="N191" s="9">
        <v>25.4</v>
      </c>
      <c r="O191" s="9">
        <v>10.199999999999999</v>
      </c>
      <c r="P191" s="9">
        <v>12.2</v>
      </c>
      <c r="Q191" s="9">
        <v>14.42063540417068</v>
      </c>
      <c r="R191" s="9">
        <v>20.680595810816609</v>
      </c>
      <c r="S191" s="9">
        <v>102330</v>
      </c>
      <c r="T191" s="9">
        <v>148.37</v>
      </c>
      <c r="U191" s="9">
        <v>6</v>
      </c>
      <c r="V191" s="9">
        <v>0.51</v>
      </c>
      <c r="W191" s="9">
        <v>165.4</v>
      </c>
      <c r="X191" s="9">
        <v>442934.43</v>
      </c>
      <c r="Y191" s="9">
        <v>1491558.72</v>
      </c>
      <c r="Z191" s="9">
        <v>50.4</v>
      </c>
      <c r="AA191" s="9">
        <v>46.8</v>
      </c>
    </row>
    <row r="192" spans="1:27" x14ac:dyDescent="0.25">
      <c r="A192" s="12">
        <v>42613</v>
      </c>
      <c r="B192" s="9">
        <v>0</v>
      </c>
      <c r="C192" s="9">
        <v>89.914226999999997</v>
      </c>
      <c r="D192" s="9">
        <v>91.089861999999997</v>
      </c>
      <c r="E192" s="9">
        <v>99.3</v>
      </c>
      <c r="F192" s="9">
        <v>4.7</v>
      </c>
      <c r="G192" s="9">
        <v>49.8</v>
      </c>
      <c r="H192" s="9">
        <v>10.6</v>
      </c>
      <c r="I192" s="9">
        <v>0</v>
      </c>
      <c r="J192" s="9">
        <v>1.3397730000000001</v>
      </c>
      <c r="K192" s="9">
        <v>-0.8</v>
      </c>
      <c r="L192" s="9">
        <v>0.35070000000000001</v>
      </c>
      <c r="M192" s="9">
        <v>-1.7</v>
      </c>
      <c r="N192" s="9">
        <v>25.3</v>
      </c>
      <c r="O192" s="9">
        <v>11.4</v>
      </c>
      <c r="P192" s="9">
        <v>12.3</v>
      </c>
      <c r="Q192" s="9">
        <v>14.18662952816686</v>
      </c>
      <c r="R192" s="9">
        <v>21.243175544379209</v>
      </c>
      <c r="S192" s="9">
        <v>116935</v>
      </c>
      <c r="T192" s="9">
        <v>149.81</v>
      </c>
      <c r="U192" s="9">
        <v>6.3</v>
      </c>
      <c r="V192" s="9">
        <v>0.56000000000000005</v>
      </c>
      <c r="W192" s="9">
        <v>166.5</v>
      </c>
      <c r="X192" s="9">
        <v>454543.59999999992</v>
      </c>
      <c r="Y192" s="9">
        <v>1510982.91</v>
      </c>
      <c r="Z192" s="9">
        <v>51.3</v>
      </c>
      <c r="AA192" s="9">
        <v>46.6</v>
      </c>
    </row>
    <row r="193" spans="1:27" x14ac:dyDescent="0.25">
      <c r="A193" s="12">
        <v>42643</v>
      </c>
      <c r="B193" s="9">
        <v>6.7</v>
      </c>
      <c r="C193" s="9">
        <v>87.510080000000002</v>
      </c>
      <c r="D193" s="9">
        <v>90.042546999999999</v>
      </c>
      <c r="E193" s="9">
        <v>104.7</v>
      </c>
      <c r="F193" s="9">
        <v>4.5</v>
      </c>
      <c r="G193" s="9">
        <v>51.4</v>
      </c>
      <c r="H193" s="9">
        <v>10.7</v>
      </c>
      <c r="I193" s="9">
        <v>1.0499000000000001</v>
      </c>
      <c r="J193" s="9">
        <v>1.920226</v>
      </c>
      <c r="K193" s="9">
        <v>0.1</v>
      </c>
      <c r="L193" s="9">
        <v>1.0127999999999999</v>
      </c>
      <c r="M193" s="9">
        <v>-0.6</v>
      </c>
      <c r="N193" s="9">
        <v>24.7</v>
      </c>
      <c r="O193" s="9">
        <v>11.5</v>
      </c>
      <c r="P193" s="9">
        <v>12.5</v>
      </c>
      <c r="Q193" s="9">
        <v>14.647045717680159</v>
      </c>
      <c r="R193" s="9">
        <v>21.517803241515669</v>
      </c>
      <c r="S193" s="9">
        <v>134663</v>
      </c>
      <c r="T193" s="9">
        <v>151.51</v>
      </c>
      <c r="U193" s="9">
        <v>6.1</v>
      </c>
      <c r="V193" s="9">
        <v>0.45</v>
      </c>
      <c r="W193" s="9">
        <v>178.9</v>
      </c>
      <c r="X193" s="9">
        <v>454340.25</v>
      </c>
      <c r="Y193" s="9">
        <v>1516360.5</v>
      </c>
      <c r="Z193" s="9">
        <v>50.9</v>
      </c>
      <c r="AA193" s="9">
        <v>46.4</v>
      </c>
    </row>
    <row r="194" spans="1:27" x14ac:dyDescent="0.25">
      <c r="A194" s="12">
        <v>42674</v>
      </c>
      <c r="B194" s="9">
        <v>0</v>
      </c>
      <c r="C194" s="9">
        <v>92.361767999999998</v>
      </c>
      <c r="D194" s="9">
        <v>92.339934999999997</v>
      </c>
      <c r="E194" s="9">
        <v>100.30000000000001</v>
      </c>
      <c r="F194" s="9">
        <v>5.9</v>
      </c>
      <c r="G194" s="9">
        <v>50.9</v>
      </c>
      <c r="H194" s="9">
        <v>10</v>
      </c>
      <c r="I194" s="9">
        <v>0</v>
      </c>
      <c r="J194" s="9">
        <v>2.0959469999999998</v>
      </c>
      <c r="K194" s="9">
        <v>1.2</v>
      </c>
      <c r="L194" s="9">
        <v>1.0992999999999999</v>
      </c>
      <c r="M194" s="9">
        <v>0.9</v>
      </c>
      <c r="N194" s="9">
        <v>23.9</v>
      </c>
      <c r="O194" s="9">
        <v>11.6</v>
      </c>
      <c r="P194" s="9">
        <v>12.7</v>
      </c>
      <c r="Q194" s="9">
        <v>15.2879656359439</v>
      </c>
      <c r="R194" s="9">
        <v>21.740818390140191</v>
      </c>
      <c r="S194" s="9">
        <v>143528</v>
      </c>
      <c r="T194" s="9">
        <v>152.43</v>
      </c>
      <c r="U194" s="9">
        <v>6.1</v>
      </c>
      <c r="V194" s="9">
        <v>0.5</v>
      </c>
      <c r="W194" s="9">
        <v>173.9</v>
      </c>
      <c r="X194" s="9">
        <v>465446.64999999991</v>
      </c>
      <c r="Y194" s="9">
        <v>1519485.4</v>
      </c>
      <c r="Z194" s="9">
        <v>52.8</v>
      </c>
      <c r="AA194" s="9">
        <v>46.9</v>
      </c>
    </row>
    <row r="195" spans="1:27" x14ac:dyDescent="0.25">
      <c r="A195" s="12">
        <v>42704</v>
      </c>
      <c r="B195" s="9">
        <v>0</v>
      </c>
      <c r="C195" s="9">
        <v>92.026612</v>
      </c>
      <c r="D195" s="9">
        <v>93.361791999999994</v>
      </c>
      <c r="E195" s="9">
        <v>102.6</v>
      </c>
      <c r="F195" s="9">
        <v>7.3</v>
      </c>
      <c r="G195" s="9">
        <v>51.8</v>
      </c>
      <c r="H195" s="9">
        <v>10.8</v>
      </c>
      <c r="I195" s="9">
        <v>0</v>
      </c>
      <c r="J195" s="9">
        <v>2.2522579999999999</v>
      </c>
      <c r="K195" s="9">
        <v>3.3</v>
      </c>
      <c r="L195" s="9">
        <v>1.4976</v>
      </c>
      <c r="M195" s="9">
        <v>3.5</v>
      </c>
      <c r="N195" s="9">
        <v>22.7</v>
      </c>
      <c r="O195" s="9">
        <v>11.4</v>
      </c>
      <c r="P195" s="9">
        <v>13.3</v>
      </c>
      <c r="Q195" s="9">
        <v>15.83814445641174</v>
      </c>
      <c r="R195" s="9">
        <v>21.17527623419986</v>
      </c>
      <c r="S195" s="9">
        <v>161856</v>
      </c>
      <c r="T195" s="9">
        <v>154.35</v>
      </c>
      <c r="U195" s="9">
        <v>6.2</v>
      </c>
      <c r="V195" s="9">
        <v>0.54</v>
      </c>
      <c r="W195" s="9">
        <v>182.7</v>
      </c>
      <c r="X195" s="9">
        <v>475405.54</v>
      </c>
      <c r="Y195" s="9">
        <v>1530432.0599999998</v>
      </c>
      <c r="Z195" s="9">
        <v>53.2</v>
      </c>
      <c r="AA195" s="9">
        <v>45.9</v>
      </c>
    </row>
    <row r="196" spans="1:27" x14ac:dyDescent="0.25">
      <c r="A196" s="12">
        <v>42735</v>
      </c>
      <c r="B196" s="9">
        <v>6.8</v>
      </c>
      <c r="C196" s="9">
        <v>94.093701999999993</v>
      </c>
      <c r="D196" s="9">
        <v>93.944157000000004</v>
      </c>
      <c r="E196" s="9">
        <v>102.07860000000001</v>
      </c>
      <c r="F196" s="9">
        <v>8.8000000000000007</v>
      </c>
      <c r="G196" s="9">
        <v>52.1</v>
      </c>
      <c r="H196" s="9">
        <v>10.9</v>
      </c>
      <c r="I196" s="9">
        <v>2.5808</v>
      </c>
      <c r="J196" s="9">
        <v>2.0765449999999999</v>
      </c>
      <c r="K196" s="9">
        <v>5.5</v>
      </c>
      <c r="L196" s="9">
        <v>1.5204</v>
      </c>
      <c r="M196" s="9">
        <v>6.3</v>
      </c>
      <c r="N196" s="9">
        <v>21.4</v>
      </c>
      <c r="O196" s="9">
        <v>11.3</v>
      </c>
      <c r="P196" s="9">
        <v>12.8</v>
      </c>
      <c r="Q196" s="9">
        <v>15.676141908865141</v>
      </c>
      <c r="R196" s="9">
        <v>20.154278795228048</v>
      </c>
      <c r="S196" s="9">
        <v>178022</v>
      </c>
      <c r="T196" s="9">
        <v>155.99</v>
      </c>
      <c r="U196" s="9">
        <v>6</v>
      </c>
      <c r="V196" s="9">
        <v>0.49</v>
      </c>
      <c r="W196" s="9">
        <v>196.2</v>
      </c>
      <c r="X196" s="9">
        <v>486557.24</v>
      </c>
      <c r="Y196" s="9">
        <v>1550066.67</v>
      </c>
      <c r="Z196" s="9">
        <v>53.2</v>
      </c>
      <c r="AA196" s="9">
        <v>44.4</v>
      </c>
    </row>
    <row r="197" spans="1:27" x14ac:dyDescent="0.25">
      <c r="A197" s="12">
        <v>42766</v>
      </c>
      <c r="B197" s="9">
        <v>0</v>
      </c>
      <c r="C197" s="9">
        <v>94.455568999999997</v>
      </c>
      <c r="D197" s="9">
        <v>94.682289999999995</v>
      </c>
      <c r="E197" s="9">
        <v>102.69199999999999</v>
      </c>
      <c r="F197" s="9">
        <v>7.8</v>
      </c>
      <c r="G197" s="9">
        <v>51.3</v>
      </c>
      <c r="H197" s="9">
        <v>0</v>
      </c>
      <c r="I197" s="9">
        <v>0</v>
      </c>
      <c r="J197" s="9">
        <v>2.5490550000000001</v>
      </c>
      <c r="K197" s="9">
        <v>6.9</v>
      </c>
      <c r="L197" s="9">
        <v>1.9245000000000001</v>
      </c>
      <c r="M197" s="9">
        <v>8.4</v>
      </c>
      <c r="N197" s="9">
        <v>14.5</v>
      </c>
      <c r="O197" s="9">
        <v>10.7</v>
      </c>
      <c r="P197" s="9">
        <v>16.411026</v>
      </c>
      <c r="Q197" s="9">
        <v>15.150313460030899</v>
      </c>
      <c r="R197" s="9">
        <v>18.385798563958261</v>
      </c>
      <c r="S197" s="9">
        <v>37720.076978999998</v>
      </c>
      <c r="T197" s="9">
        <v>184.143349</v>
      </c>
      <c r="U197" s="9">
        <v>2.9372500000000001</v>
      </c>
      <c r="V197" s="9">
        <v>0.57999999999999996</v>
      </c>
      <c r="W197" s="9">
        <v>154.19999999999999</v>
      </c>
      <c r="X197" s="9">
        <v>472526.44999999995</v>
      </c>
      <c r="Y197" s="9">
        <v>1584194.564</v>
      </c>
      <c r="Z197" s="9">
        <v>52.8</v>
      </c>
      <c r="AA197" s="9">
        <v>45</v>
      </c>
    </row>
    <row r="198" spans="1:27" x14ac:dyDescent="0.25">
      <c r="A198" s="12">
        <v>42794</v>
      </c>
      <c r="B198" s="9">
        <v>0</v>
      </c>
      <c r="C198" s="9">
        <v>96.643553999999995</v>
      </c>
      <c r="D198" s="9">
        <v>96.285308000000001</v>
      </c>
      <c r="E198" s="9">
        <v>103.2154</v>
      </c>
      <c r="F198" s="9">
        <v>5.4</v>
      </c>
      <c r="G198" s="9">
        <v>51.2</v>
      </c>
      <c r="H198" s="9">
        <v>9.5</v>
      </c>
      <c r="I198" s="9">
        <v>0</v>
      </c>
      <c r="J198" s="9">
        <v>0.8</v>
      </c>
      <c r="K198" s="9">
        <v>7.8</v>
      </c>
      <c r="L198" s="9">
        <v>0.68500000000000005</v>
      </c>
      <c r="M198" s="9">
        <v>9.9</v>
      </c>
      <c r="N198" s="9">
        <v>21.4</v>
      </c>
      <c r="O198" s="9">
        <v>10.4</v>
      </c>
      <c r="P198" s="9">
        <v>16.383288</v>
      </c>
      <c r="Q198" s="9">
        <v>14.513748176505461</v>
      </c>
      <c r="R198" s="9">
        <v>18.01680162436741</v>
      </c>
      <c r="S198" s="9">
        <v>48775.399088999999</v>
      </c>
      <c r="T198" s="9">
        <v>185.24750599999999</v>
      </c>
      <c r="U198" s="9">
        <v>10.322581</v>
      </c>
      <c r="V198" s="9">
        <v>0.56999999999999995</v>
      </c>
      <c r="W198" s="9">
        <v>136.80000000000001</v>
      </c>
      <c r="X198" s="9">
        <v>476527.6</v>
      </c>
      <c r="Y198" s="9">
        <v>1589856.9949999999</v>
      </c>
      <c r="Z198" s="9">
        <v>53</v>
      </c>
      <c r="AA198" s="9">
        <v>47.6</v>
      </c>
    </row>
    <row r="199" spans="1:27" x14ac:dyDescent="0.25">
      <c r="A199" s="12">
        <v>42825</v>
      </c>
      <c r="B199" s="9">
        <v>7</v>
      </c>
      <c r="C199" s="9">
        <v>93.139554000000004</v>
      </c>
      <c r="D199" s="9">
        <v>93.748273999999995</v>
      </c>
      <c r="E199" s="9">
        <v>103.55349999999999</v>
      </c>
      <c r="F199" s="9">
        <v>6</v>
      </c>
      <c r="G199" s="9">
        <v>51.9</v>
      </c>
      <c r="H199" s="9">
        <v>10.9</v>
      </c>
      <c r="I199" s="9">
        <v>4.6096000000000004</v>
      </c>
      <c r="J199" s="9">
        <v>0.9</v>
      </c>
      <c r="K199" s="9">
        <v>7.6</v>
      </c>
      <c r="L199" s="9">
        <v>0.67600000000000005</v>
      </c>
      <c r="M199" s="9">
        <v>10</v>
      </c>
      <c r="N199" s="9">
        <v>18.8</v>
      </c>
      <c r="O199" s="9">
        <v>10.1</v>
      </c>
      <c r="P199" s="9">
        <v>15.710338</v>
      </c>
      <c r="Q199" s="9">
        <v>13.73162366031289</v>
      </c>
      <c r="R199" s="9">
        <v>16.67972153840816</v>
      </c>
      <c r="S199" s="9">
        <v>74247.038646999994</v>
      </c>
      <c r="T199" s="9">
        <v>187.78796600000001</v>
      </c>
      <c r="U199" s="9">
        <v>7.6</v>
      </c>
      <c r="V199" s="9">
        <v>0.76</v>
      </c>
      <c r="W199" s="9">
        <v>181.1</v>
      </c>
      <c r="X199" s="9">
        <v>488770.08999999997</v>
      </c>
      <c r="Y199" s="9">
        <v>1607938.9799999997</v>
      </c>
      <c r="Z199" s="9">
        <v>53.3</v>
      </c>
      <c r="AA199" s="9">
        <v>47.3</v>
      </c>
    </row>
    <row r="200" spans="1:27" x14ac:dyDescent="0.25">
      <c r="A200" s="12">
        <v>42855</v>
      </c>
      <c r="B200" s="9">
        <v>0</v>
      </c>
      <c r="C200" s="9">
        <v>94.159603000000004</v>
      </c>
      <c r="D200" s="9">
        <v>93.928687999999994</v>
      </c>
      <c r="E200" s="9">
        <v>103.72299999999998</v>
      </c>
      <c r="F200" s="9">
        <v>4.0999999999999996</v>
      </c>
      <c r="G200" s="9">
        <v>50.5</v>
      </c>
      <c r="H200" s="9">
        <v>10.7</v>
      </c>
      <c r="I200" s="9">
        <v>0</v>
      </c>
      <c r="J200" s="9">
        <v>1.2</v>
      </c>
      <c r="K200" s="9">
        <v>6.4</v>
      </c>
      <c r="L200" s="9">
        <v>0.90759999999999996</v>
      </c>
      <c r="M200" s="9">
        <v>9</v>
      </c>
      <c r="N200" s="9">
        <v>18.5</v>
      </c>
      <c r="O200" s="9">
        <v>9.8000000000000007</v>
      </c>
      <c r="P200" s="9">
        <v>15.501042999999999</v>
      </c>
      <c r="Q200" s="9">
        <v>13.10025763995421</v>
      </c>
      <c r="R200" s="9">
        <v>16.09336949881515</v>
      </c>
      <c r="S200" s="9">
        <v>93805.962417000002</v>
      </c>
      <c r="T200" s="9">
        <v>189.71392399999999</v>
      </c>
      <c r="U200" s="9">
        <v>6.5</v>
      </c>
      <c r="V200" s="9">
        <v>0.46</v>
      </c>
      <c r="W200" s="9">
        <v>165.3</v>
      </c>
      <c r="X200" s="9">
        <v>490180.42</v>
      </c>
      <c r="Y200" s="9">
        <v>1603918.8399999999</v>
      </c>
      <c r="Z200" s="9">
        <v>52.3</v>
      </c>
      <c r="AA200" s="9">
        <v>48.2</v>
      </c>
    </row>
    <row r="201" spans="1:27" x14ac:dyDescent="0.25">
      <c r="A201" s="12">
        <v>42886</v>
      </c>
      <c r="B201" s="9">
        <v>0</v>
      </c>
      <c r="C201" s="9">
        <v>93.110061999999999</v>
      </c>
      <c r="D201" s="9">
        <v>93.877227000000005</v>
      </c>
      <c r="E201" s="9">
        <v>103.59179999999999</v>
      </c>
      <c r="F201" s="9">
        <v>5.7</v>
      </c>
      <c r="G201" s="9">
        <v>50.9</v>
      </c>
      <c r="H201" s="9">
        <v>10.7</v>
      </c>
      <c r="I201" s="9">
        <v>0</v>
      </c>
      <c r="J201" s="9">
        <v>1.5</v>
      </c>
      <c r="K201" s="9">
        <v>5.5</v>
      </c>
      <c r="L201" s="9">
        <v>1.1029</v>
      </c>
      <c r="M201" s="9">
        <v>8</v>
      </c>
      <c r="N201" s="9">
        <v>17</v>
      </c>
      <c r="O201" s="9">
        <v>9.1</v>
      </c>
      <c r="P201" s="9">
        <v>15.503387</v>
      </c>
      <c r="Q201" s="9">
        <v>11.99295426104544</v>
      </c>
      <c r="R201" s="9">
        <v>14.839074263268349</v>
      </c>
      <c r="S201" s="9">
        <v>111617.695354</v>
      </c>
      <c r="T201" s="9">
        <v>191.45674600000001</v>
      </c>
      <c r="U201" s="9">
        <v>6.5</v>
      </c>
      <c r="V201" s="9">
        <v>0.51</v>
      </c>
      <c r="W201" s="9">
        <v>173</v>
      </c>
      <c r="X201" s="9">
        <v>496389.77999999997</v>
      </c>
      <c r="Y201" s="9">
        <v>1609740.7739999997</v>
      </c>
      <c r="Z201" s="9">
        <v>52.3</v>
      </c>
      <c r="AA201" s="9">
        <v>46.6</v>
      </c>
    </row>
    <row r="202" spans="1:27" x14ac:dyDescent="0.25">
      <c r="A202" s="12">
        <v>42916</v>
      </c>
      <c r="B202" s="9">
        <v>7</v>
      </c>
      <c r="C202" s="9">
        <v>94.045957999999999</v>
      </c>
      <c r="D202" s="9">
        <v>93.071028999999996</v>
      </c>
      <c r="E202" s="9">
        <v>103.5804</v>
      </c>
      <c r="F202" s="9">
        <v>6.8</v>
      </c>
      <c r="G202" s="9">
        <v>51.4</v>
      </c>
      <c r="H202" s="9">
        <v>11</v>
      </c>
      <c r="I202" s="9">
        <v>3.9293</v>
      </c>
      <c r="J202" s="9">
        <v>1.5</v>
      </c>
      <c r="K202" s="9">
        <v>5.5</v>
      </c>
      <c r="L202" s="9">
        <v>0.89639999999999997</v>
      </c>
      <c r="M202" s="9">
        <v>7.3</v>
      </c>
      <c r="N202" s="9">
        <v>15</v>
      </c>
      <c r="O202" s="9">
        <v>9.1</v>
      </c>
      <c r="P202" s="9">
        <v>14.917823</v>
      </c>
      <c r="Q202" s="9">
        <v>10.780233417703171</v>
      </c>
      <c r="R202" s="9">
        <v>13.900757563709931</v>
      </c>
      <c r="S202" s="9">
        <v>137503.60630700001</v>
      </c>
      <c r="T202" s="9">
        <v>193.96961400000001</v>
      </c>
      <c r="U202" s="9">
        <v>7.6</v>
      </c>
      <c r="V202" s="9">
        <v>0.76</v>
      </c>
      <c r="W202" s="9">
        <v>195.8</v>
      </c>
      <c r="X202" s="9">
        <v>510228.16999999993</v>
      </c>
      <c r="Y202" s="9">
        <v>1639497.0450000002</v>
      </c>
      <c r="Z202" s="9">
        <v>53.1</v>
      </c>
      <c r="AA202" s="9">
        <v>46.3</v>
      </c>
    </row>
    <row r="203" spans="1:27" x14ac:dyDescent="0.25">
      <c r="A203" s="12">
        <v>42947</v>
      </c>
      <c r="B203" s="9">
        <v>0</v>
      </c>
      <c r="C203" s="9">
        <v>94.352785999999995</v>
      </c>
      <c r="D203" s="9">
        <v>94.170484000000002</v>
      </c>
      <c r="E203" s="9">
        <v>103.47080000000001</v>
      </c>
      <c r="F203" s="9">
        <v>6.7</v>
      </c>
      <c r="G203" s="9">
        <v>51.1</v>
      </c>
      <c r="H203" s="9">
        <v>10.4</v>
      </c>
      <c r="I203" s="9">
        <v>0</v>
      </c>
      <c r="J203" s="9">
        <v>1.4</v>
      </c>
      <c r="K203" s="9">
        <v>5.5</v>
      </c>
      <c r="L203" s="9">
        <v>0.66500000000000004</v>
      </c>
      <c r="M203" s="9">
        <v>7</v>
      </c>
      <c r="N203" s="9">
        <v>15.3</v>
      </c>
      <c r="O203" s="9">
        <v>8.9</v>
      </c>
      <c r="P203" s="9">
        <v>15.542253000000001</v>
      </c>
      <c r="Q203" s="9">
        <v>10.52471842444805</v>
      </c>
      <c r="R203" s="9">
        <v>13.9715769431507</v>
      </c>
      <c r="S203" s="9">
        <v>158691.712875</v>
      </c>
      <c r="T203" s="9">
        <v>195.98194899999999</v>
      </c>
      <c r="U203" s="9">
        <v>6.4</v>
      </c>
      <c r="V203" s="9">
        <v>0.4</v>
      </c>
      <c r="W203" s="9">
        <v>176</v>
      </c>
      <c r="X203" s="9">
        <v>510484.58</v>
      </c>
      <c r="Y203" s="9">
        <v>1636341.105</v>
      </c>
      <c r="Z203" s="9">
        <v>52.8</v>
      </c>
      <c r="AA203" s="9">
        <v>46.1</v>
      </c>
    </row>
    <row r="204" spans="1:27" x14ac:dyDescent="0.25">
      <c r="A204" s="12">
        <v>42978</v>
      </c>
      <c r="B204" s="9">
        <v>0</v>
      </c>
      <c r="C204" s="9">
        <v>93.609448</v>
      </c>
      <c r="D204" s="9">
        <v>94.563295999999994</v>
      </c>
      <c r="E204" s="9">
        <v>103.26990000000001</v>
      </c>
      <c r="F204" s="9">
        <v>7.6</v>
      </c>
      <c r="G204" s="9">
        <v>50.9</v>
      </c>
      <c r="H204" s="9">
        <v>10.1</v>
      </c>
      <c r="I204" s="9">
        <v>0</v>
      </c>
      <c r="J204" s="9">
        <v>1.8</v>
      </c>
      <c r="K204" s="9">
        <v>6.3</v>
      </c>
      <c r="L204" s="9">
        <v>1.1434</v>
      </c>
      <c r="M204" s="9">
        <v>7.7</v>
      </c>
      <c r="N204" s="9">
        <v>14</v>
      </c>
      <c r="O204" s="9">
        <v>8.6</v>
      </c>
      <c r="P204" s="9">
        <v>15.112273</v>
      </c>
      <c r="Q204" s="9">
        <v>10.34367409596223</v>
      </c>
      <c r="R204" s="9">
        <v>13.02473700721721</v>
      </c>
      <c r="S204" s="9">
        <v>179177.220585</v>
      </c>
      <c r="T204" s="9">
        <v>197.944256</v>
      </c>
      <c r="U204" s="9">
        <v>6</v>
      </c>
      <c r="V204" s="9">
        <v>0.47</v>
      </c>
      <c r="W204" s="9">
        <v>176.5</v>
      </c>
      <c r="X204" s="9">
        <v>518113.93000000005</v>
      </c>
      <c r="Y204" s="9">
        <v>1652947.2999999998</v>
      </c>
      <c r="Z204" s="9">
        <v>53.1</v>
      </c>
      <c r="AA204" s="9">
        <v>45.5</v>
      </c>
    </row>
    <row r="205" spans="1:27" x14ac:dyDescent="0.25">
      <c r="A205" s="12">
        <v>43008</v>
      </c>
      <c r="B205" s="9">
        <v>6.9</v>
      </c>
      <c r="C205" s="9">
        <v>95.486645999999993</v>
      </c>
      <c r="D205" s="9">
        <v>95.281448999999995</v>
      </c>
      <c r="E205" s="9">
        <v>103.07100000000001</v>
      </c>
      <c r="F205" s="9">
        <v>10.6</v>
      </c>
      <c r="G205" s="9">
        <v>52.3</v>
      </c>
      <c r="H205" s="9">
        <v>10.3</v>
      </c>
      <c r="I205" s="9">
        <v>4.0850999999999997</v>
      </c>
      <c r="J205" s="9">
        <v>1.6</v>
      </c>
      <c r="K205" s="9">
        <v>6.9</v>
      </c>
      <c r="L205" s="9">
        <v>0.98729999999999996</v>
      </c>
      <c r="M205" s="9">
        <v>8.5</v>
      </c>
      <c r="N205" s="9">
        <v>14</v>
      </c>
      <c r="O205" s="9">
        <v>9</v>
      </c>
      <c r="P205" s="9">
        <v>14.888994</v>
      </c>
      <c r="Q205" s="9">
        <v>10.15092026228643</v>
      </c>
      <c r="R205" s="9">
        <v>12.505713171234699</v>
      </c>
      <c r="S205" s="9">
        <v>204615.82752399999</v>
      </c>
      <c r="T205" s="9">
        <v>200.43705299999999</v>
      </c>
      <c r="U205" s="9">
        <v>6.6</v>
      </c>
      <c r="V205" s="9">
        <v>0.55000000000000004</v>
      </c>
      <c r="W205" s="9">
        <v>190.7</v>
      </c>
      <c r="X205" s="9">
        <v>517863.04000000004</v>
      </c>
      <c r="Y205" s="9">
        <v>1663666.054</v>
      </c>
      <c r="Z205" s="9">
        <v>54.8</v>
      </c>
      <c r="AA205" s="9">
        <v>44.2</v>
      </c>
    </row>
    <row r="206" spans="1:27" x14ac:dyDescent="0.25">
      <c r="A206" s="12">
        <v>43039</v>
      </c>
      <c r="B206" s="9">
        <v>0</v>
      </c>
      <c r="C206" s="9">
        <v>92.475389000000007</v>
      </c>
      <c r="D206" s="9">
        <v>92.794267000000005</v>
      </c>
      <c r="E206" s="9">
        <v>103.01010000000001</v>
      </c>
      <c r="F206" s="9">
        <v>6.8</v>
      </c>
      <c r="G206" s="9">
        <v>51.1</v>
      </c>
      <c r="H206" s="9">
        <v>10</v>
      </c>
      <c r="I206" s="9">
        <v>0</v>
      </c>
      <c r="J206" s="9">
        <v>1.9</v>
      </c>
      <c r="K206" s="9">
        <v>6.9</v>
      </c>
      <c r="L206" s="9">
        <v>1.3324</v>
      </c>
      <c r="M206" s="9">
        <v>8.4</v>
      </c>
      <c r="N206" s="9">
        <v>13</v>
      </c>
      <c r="O206" s="9">
        <v>8.9</v>
      </c>
      <c r="P206" s="9">
        <v>14.955353000000001</v>
      </c>
      <c r="Q206" s="9">
        <v>9.3698976332022124</v>
      </c>
      <c r="R206" s="9">
        <v>12.310748502877461</v>
      </c>
      <c r="S206" s="9">
        <v>220476.978963</v>
      </c>
      <c r="T206" s="9">
        <v>201.95600099999999</v>
      </c>
      <c r="U206" s="9">
        <v>6.2</v>
      </c>
      <c r="V206" s="9">
        <v>0.51</v>
      </c>
      <c r="W206" s="9">
        <v>184.7</v>
      </c>
      <c r="X206" s="9">
        <v>525977.18999999994</v>
      </c>
      <c r="Y206" s="9">
        <v>1662449.9600000002</v>
      </c>
      <c r="Z206" s="9">
        <v>52.9</v>
      </c>
      <c r="AA206" s="9">
        <v>46.1</v>
      </c>
    </row>
    <row r="207" spans="1:27" x14ac:dyDescent="0.25">
      <c r="A207" s="12">
        <v>43069</v>
      </c>
      <c r="B207" s="9">
        <v>0</v>
      </c>
      <c r="C207" s="9">
        <v>92.403553000000002</v>
      </c>
      <c r="D207" s="9">
        <v>91.435443000000006</v>
      </c>
      <c r="E207" s="9">
        <v>103.15309999999999</v>
      </c>
      <c r="F207" s="9">
        <v>7.5</v>
      </c>
      <c r="G207" s="9">
        <v>51.8</v>
      </c>
      <c r="H207" s="9">
        <v>10.199999999999999</v>
      </c>
      <c r="I207" s="9">
        <v>0</v>
      </c>
      <c r="J207" s="9">
        <v>1.7</v>
      </c>
      <c r="K207" s="9">
        <v>5.8</v>
      </c>
      <c r="L207" s="9">
        <v>1.2796000000000001</v>
      </c>
      <c r="M207" s="9">
        <v>7.1</v>
      </c>
      <c r="N207" s="9">
        <v>12.7</v>
      </c>
      <c r="O207" s="9">
        <v>9.1</v>
      </c>
      <c r="P207" s="9">
        <v>14.492229</v>
      </c>
      <c r="Q207" s="9">
        <v>9.2232494174466666</v>
      </c>
      <c r="R207" s="9">
        <v>12.06997441621662</v>
      </c>
      <c r="S207" s="9">
        <v>243432.96021700001</v>
      </c>
      <c r="T207" s="9">
        <v>204.192408</v>
      </c>
      <c r="U207" s="9">
        <v>6.1</v>
      </c>
      <c r="V207" s="9">
        <v>0.45</v>
      </c>
      <c r="W207" s="9">
        <v>193.8</v>
      </c>
      <c r="X207" s="9">
        <v>535565.05000000005</v>
      </c>
      <c r="Y207" s="9">
        <v>1679156.6359999999</v>
      </c>
      <c r="Z207" s="9">
        <v>53.6</v>
      </c>
      <c r="AA207" s="9">
        <v>46.1</v>
      </c>
    </row>
    <row r="208" spans="1:27" x14ac:dyDescent="0.25">
      <c r="A208" s="12">
        <v>43100</v>
      </c>
      <c r="B208" s="9">
        <v>6.8</v>
      </c>
      <c r="C208" s="9">
        <v>90.901152999999994</v>
      </c>
      <c r="D208" s="9">
        <v>90.394926999999996</v>
      </c>
      <c r="E208" s="9">
        <v>103.32279999999999</v>
      </c>
      <c r="F208" s="9">
        <v>7.6</v>
      </c>
      <c r="G208" s="9">
        <v>52</v>
      </c>
      <c r="H208" s="9">
        <v>9.4</v>
      </c>
      <c r="I208" s="9">
        <v>3.9590999999999998</v>
      </c>
      <c r="J208" s="9">
        <v>1.8</v>
      </c>
      <c r="K208" s="9">
        <v>4.9000000000000004</v>
      </c>
      <c r="L208" s="9">
        <v>1.4211</v>
      </c>
      <c r="M208" s="9">
        <v>5.9</v>
      </c>
      <c r="N208" s="9">
        <v>11.8</v>
      </c>
      <c r="O208" s="9">
        <v>8.1</v>
      </c>
      <c r="P208" s="9">
        <v>14.081822000000001</v>
      </c>
      <c r="Q208" s="9">
        <v>8.3979416741106938</v>
      </c>
      <c r="R208" s="9">
        <v>11.21133193856789</v>
      </c>
      <c r="S208" s="9">
        <v>261535.84276699999</v>
      </c>
      <c r="T208" s="9">
        <v>205.909809</v>
      </c>
      <c r="U208" s="9">
        <v>6.2</v>
      </c>
      <c r="V208" s="9">
        <v>0.52</v>
      </c>
      <c r="W208" s="9">
        <v>208.4</v>
      </c>
      <c r="X208" s="9">
        <v>543790.15</v>
      </c>
      <c r="Y208" s="9">
        <v>1690235.3149999997</v>
      </c>
      <c r="Z208" s="9">
        <v>53.4</v>
      </c>
      <c r="AA208" s="9">
        <v>45.8</v>
      </c>
    </row>
    <row r="209" spans="1:27" x14ac:dyDescent="0.25">
      <c r="A209" s="12">
        <v>43131</v>
      </c>
      <c r="B209" s="9">
        <v>0</v>
      </c>
      <c r="C209" s="9">
        <v>92.024932000000007</v>
      </c>
      <c r="D209" s="9">
        <v>90.724524000000002</v>
      </c>
      <c r="E209" s="9">
        <v>103.70440000000001</v>
      </c>
      <c r="F209" s="9">
        <v>5.6</v>
      </c>
      <c r="G209" s="9">
        <v>51.9</v>
      </c>
      <c r="H209" s="9">
        <v>0</v>
      </c>
      <c r="I209" s="9">
        <v>0</v>
      </c>
      <c r="J209" s="9">
        <v>1.5</v>
      </c>
      <c r="K209" s="9">
        <v>4.3</v>
      </c>
      <c r="L209" s="9">
        <v>1.2579</v>
      </c>
      <c r="M209" s="9">
        <v>5.2</v>
      </c>
      <c r="N209" s="9">
        <v>15</v>
      </c>
      <c r="O209" s="9">
        <v>8.6</v>
      </c>
      <c r="P209" s="9">
        <v>13.433579</v>
      </c>
      <c r="Q209" s="9">
        <v>7.399749762921572</v>
      </c>
      <c r="R209" s="9">
        <v>11.567003048284841</v>
      </c>
      <c r="S209" s="9">
        <v>31417.220554</v>
      </c>
      <c r="T209" s="9">
        <v>208.880392</v>
      </c>
      <c r="U209" s="9">
        <v>15.434500999999999</v>
      </c>
      <c r="V209" s="9">
        <v>0.56999999999999995</v>
      </c>
      <c r="W209" s="9">
        <v>178</v>
      </c>
      <c r="X209" s="9">
        <v>543247.13</v>
      </c>
      <c r="Y209" s="9">
        <v>1720814.46</v>
      </c>
      <c r="Z209" s="9">
        <v>52.6</v>
      </c>
      <c r="AA209" s="9">
        <v>47</v>
      </c>
    </row>
    <row r="210" spans="1:27" x14ac:dyDescent="0.25">
      <c r="A210" s="12">
        <v>43159</v>
      </c>
      <c r="B210" s="9">
        <v>0</v>
      </c>
      <c r="C210" s="9">
        <v>92.843868000000001</v>
      </c>
      <c r="D210" s="9">
        <v>92.128871000000004</v>
      </c>
      <c r="E210" s="9">
        <v>103.875</v>
      </c>
      <c r="F210" s="9">
        <v>4.3</v>
      </c>
      <c r="G210" s="9">
        <v>50.5</v>
      </c>
      <c r="H210" s="9">
        <v>9.6999999999999993</v>
      </c>
      <c r="I210" s="9">
        <v>0</v>
      </c>
      <c r="J210" s="9">
        <v>2.9</v>
      </c>
      <c r="K210" s="9">
        <v>3.7</v>
      </c>
      <c r="L210" s="9">
        <v>2.0131999999999999</v>
      </c>
      <c r="M210" s="9">
        <v>4.4000000000000004</v>
      </c>
      <c r="N210" s="9">
        <v>8.5</v>
      </c>
      <c r="O210" s="9">
        <v>8.8000000000000007</v>
      </c>
      <c r="P210" s="9">
        <v>13.388316</v>
      </c>
      <c r="Q210" s="9">
        <v>7.3549172945059258</v>
      </c>
      <c r="R210" s="9">
        <v>11.08341294040549</v>
      </c>
      <c r="S210" s="9">
        <v>43481.608479000002</v>
      </c>
      <c r="T210" s="9">
        <v>210.04902899999999</v>
      </c>
      <c r="U210" s="9">
        <v>-2.1198830000000002</v>
      </c>
      <c r="V210" s="9">
        <v>0.56999999999999995</v>
      </c>
      <c r="W210" s="9">
        <v>133.9</v>
      </c>
      <c r="X210" s="9">
        <v>517035.99</v>
      </c>
      <c r="Y210" s="9">
        <v>1729070.12</v>
      </c>
      <c r="Z210" s="9">
        <v>51</v>
      </c>
      <c r="AA210" s="9">
        <v>46.7</v>
      </c>
    </row>
    <row r="211" spans="1:27" x14ac:dyDescent="0.25">
      <c r="A211" s="12">
        <v>43190</v>
      </c>
      <c r="B211" s="9">
        <v>6.9</v>
      </c>
      <c r="C211" s="9">
        <v>91.240131000000005</v>
      </c>
      <c r="D211" s="9">
        <v>90.577383999999995</v>
      </c>
      <c r="E211" s="9">
        <v>103.59690000000001</v>
      </c>
      <c r="F211" s="9">
        <v>6</v>
      </c>
      <c r="G211" s="9">
        <v>50.1</v>
      </c>
      <c r="H211" s="9">
        <v>10.1</v>
      </c>
      <c r="I211" s="9">
        <v>3.0129000000000001</v>
      </c>
      <c r="J211" s="9">
        <v>2.1</v>
      </c>
      <c r="K211" s="9">
        <v>3.1</v>
      </c>
      <c r="L211" s="9">
        <v>1.4399</v>
      </c>
      <c r="M211" s="9">
        <v>3.7</v>
      </c>
      <c r="N211" s="9">
        <v>7.1</v>
      </c>
      <c r="O211" s="9">
        <v>8.1999999999999993</v>
      </c>
      <c r="P211" s="9">
        <v>12.690308</v>
      </c>
      <c r="Q211" s="9">
        <v>7.2516395523688661</v>
      </c>
      <c r="R211" s="9">
        <v>10.40088905762644</v>
      </c>
      <c r="S211" s="9">
        <v>60573.085178000001</v>
      </c>
      <c r="T211" s="9">
        <v>211.61883700000001</v>
      </c>
      <c r="U211" s="9">
        <v>6</v>
      </c>
      <c r="V211" s="9">
        <v>0.37</v>
      </c>
      <c r="W211" s="9">
        <v>192</v>
      </c>
      <c r="X211" s="9">
        <v>523540.07</v>
      </c>
      <c r="Y211" s="9">
        <v>1739859.4799999997</v>
      </c>
      <c r="Z211" s="9">
        <v>53.3</v>
      </c>
      <c r="AA211" s="9">
        <v>47.3</v>
      </c>
    </row>
    <row r="212" spans="1:27" x14ac:dyDescent="0.25">
      <c r="A212" s="12">
        <v>43220</v>
      </c>
      <c r="B212" s="9">
        <v>0</v>
      </c>
      <c r="C212" s="9">
        <v>92.999617000000001</v>
      </c>
      <c r="D212" s="9">
        <v>92.056903000000005</v>
      </c>
      <c r="E212" s="9">
        <v>103.2861</v>
      </c>
      <c r="F212" s="9">
        <v>5.7</v>
      </c>
      <c r="G212" s="9">
        <v>51.1</v>
      </c>
      <c r="H212" s="9">
        <v>9.4</v>
      </c>
      <c r="I212" s="9">
        <v>0</v>
      </c>
      <c r="J212" s="9">
        <v>1.8</v>
      </c>
      <c r="K212" s="9">
        <v>3.4</v>
      </c>
      <c r="L212" s="9">
        <v>1.3755999999999999</v>
      </c>
      <c r="M212" s="9">
        <v>3.7</v>
      </c>
      <c r="N212" s="9">
        <v>7.2</v>
      </c>
      <c r="O212" s="9">
        <v>8.3000000000000007</v>
      </c>
      <c r="P212" s="9">
        <v>12.652969000000001</v>
      </c>
      <c r="Q212" s="9">
        <v>6.8842315806893444</v>
      </c>
      <c r="R212" s="9">
        <v>10.401382210990951</v>
      </c>
      <c r="S212" s="9">
        <v>82816.025726000007</v>
      </c>
      <c r="T212" s="9">
        <v>213.718368</v>
      </c>
      <c r="U212" s="9">
        <v>7</v>
      </c>
      <c r="V212" s="9">
        <v>0.65</v>
      </c>
      <c r="W212" s="9">
        <v>176.9</v>
      </c>
      <c r="X212" s="9">
        <v>525447.77</v>
      </c>
      <c r="Y212" s="9">
        <v>1737683.7299999997</v>
      </c>
      <c r="Z212" s="9">
        <v>52.9</v>
      </c>
      <c r="AA212" s="9">
        <v>47.2</v>
      </c>
    </row>
    <row r="213" spans="1:27" x14ac:dyDescent="0.25">
      <c r="A213" s="12">
        <v>43251</v>
      </c>
      <c r="B213" s="9">
        <v>0</v>
      </c>
      <c r="C213" s="9">
        <v>94.806482000000003</v>
      </c>
      <c r="D213" s="9">
        <v>94.963713999999996</v>
      </c>
      <c r="E213" s="9">
        <v>102.85420000000001</v>
      </c>
      <c r="F213" s="9">
        <v>7.7</v>
      </c>
      <c r="G213" s="9">
        <v>51</v>
      </c>
      <c r="H213" s="9">
        <v>8.5</v>
      </c>
      <c r="I213" s="9">
        <v>0</v>
      </c>
      <c r="J213" s="9">
        <v>1.8</v>
      </c>
      <c r="K213" s="9">
        <v>4.0999999999999996</v>
      </c>
      <c r="L213" s="9">
        <v>1.5355000000000001</v>
      </c>
      <c r="M213" s="9">
        <v>4.3</v>
      </c>
      <c r="N213" s="9">
        <v>6</v>
      </c>
      <c r="O213" s="9">
        <v>8.3000000000000007</v>
      </c>
      <c r="P213" s="9">
        <v>12.199076</v>
      </c>
      <c r="Q213" s="9">
        <v>6.7671384383813686</v>
      </c>
      <c r="R213" s="9">
        <v>10.44006727235972</v>
      </c>
      <c r="S213" s="9">
        <v>94049.650177000003</v>
      </c>
      <c r="T213" s="9">
        <v>214.81270000000001</v>
      </c>
      <c r="U213" s="9">
        <v>6.8</v>
      </c>
      <c r="V213" s="9">
        <v>0.52</v>
      </c>
      <c r="W213" s="9">
        <v>184.8</v>
      </c>
      <c r="X213" s="9">
        <v>526276.71549999993</v>
      </c>
      <c r="Y213" s="9">
        <v>1743063.7919999999</v>
      </c>
      <c r="Z213" s="9">
        <v>53.8</v>
      </c>
      <c r="AA213" s="9">
        <v>46.1</v>
      </c>
    </row>
    <row r="214" spans="1:27" x14ac:dyDescent="0.25">
      <c r="A214" s="12">
        <v>43281</v>
      </c>
      <c r="B214" s="9">
        <v>6.9</v>
      </c>
      <c r="C214" s="9">
        <v>93.745324999999994</v>
      </c>
      <c r="D214" s="9">
        <v>93.944570999999996</v>
      </c>
      <c r="E214" s="9">
        <v>102.42919999999999</v>
      </c>
      <c r="F214" s="9">
        <v>6.9</v>
      </c>
      <c r="G214" s="9">
        <v>50.6</v>
      </c>
      <c r="H214" s="9">
        <v>9</v>
      </c>
      <c r="I214" s="9">
        <v>2.7614000000000001</v>
      </c>
      <c r="J214" s="9">
        <v>1.9</v>
      </c>
      <c r="K214" s="9">
        <v>4.7</v>
      </c>
      <c r="L214" s="9">
        <v>1.8405</v>
      </c>
      <c r="M214" s="9">
        <v>5.0999999999999996</v>
      </c>
      <c r="N214" s="9">
        <v>6.6</v>
      </c>
      <c r="O214" s="9">
        <v>8</v>
      </c>
      <c r="P214" s="9">
        <v>11.76127</v>
      </c>
      <c r="Q214" s="9">
        <v>6.8837517622669981</v>
      </c>
      <c r="R214" s="9">
        <v>10.29071454339307</v>
      </c>
      <c r="S214" s="9">
        <v>114422.61479199999</v>
      </c>
      <c r="T214" s="9">
        <v>216.782904</v>
      </c>
      <c r="U214" s="9">
        <v>6</v>
      </c>
      <c r="V214" s="9">
        <v>0.4</v>
      </c>
      <c r="W214" s="9">
        <v>207.6</v>
      </c>
      <c r="X214" s="9">
        <v>543944.71230799996</v>
      </c>
      <c r="Y214" s="9">
        <v>1770178.3727810001</v>
      </c>
      <c r="Z214" s="9">
        <v>53.2</v>
      </c>
      <c r="AA214" s="9">
        <v>46.3</v>
      </c>
    </row>
    <row r="215" spans="1:27" x14ac:dyDescent="0.25">
      <c r="A215" s="12">
        <v>43312</v>
      </c>
      <c r="B215" s="9">
        <v>0</v>
      </c>
      <c r="C215" s="9">
        <v>95.042056000000002</v>
      </c>
      <c r="D215" s="9">
        <v>94.856572</v>
      </c>
      <c r="E215" s="9">
        <v>101.98930000000001</v>
      </c>
      <c r="F215" s="9">
        <v>5.2</v>
      </c>
      <c r="G215" s="9">
        <v>51</v>
      </c>
      <c r="H215" s="9">
        <v>8.8000000000000007</v>
      </c>
      <c r="I215" s="9">
        <v>0</v>
      </c>
      <c r="J215" s="9">
        <v>2.1</v>
      </c>
      <c r="K215" s="9">
        <v>4.5999999999999996</v>
      </c>
      <c r="L215" s="9">
        <v>2.1751</v>
      </c>
      <c r="M215" s="9">
        <v>5.2</v>
      </c>
      <c r="N215" s="9">
        <v>5.0999999999999996</v>
      </c>
      <c r="O215" s="9">
        <v>8.5</v>
      </c>
      <c r="P215" s="9">
        <v>11.485086000000001</v>
      </c>
      <c r="Q215" s="9">
        <v>7.3939988886630612</v>
      </c>
      <c r="R215" s="9">
        <v>10.16199471105857</v>
      </c>
      <c r="S215" s="9">
        <v>132804.55674900001</v>
      </c>
      <c r="T215" s="9">
        <v>218.490644</v>
      </c>
      <c r="U215" s="9">
        <v>6</v>
      </c>
      <c r="V215" s="9">
        <v>0.46</v>
      </c>
      <c r="W215" s="9">
        <v>186.6</v>
      </c>
      <c r="X215" s="9">
        <v>536624.29389999993</v>
      </c>
      <c r="Y215" s="9">
        <v>1776196.1050000002</v>
      </c>
      <c r="Z215" s="9">
        <v>52.3</v>
      </c>
      <c r="AA215" s="9">
        <v>47.1</v>
      </c>
    </row>
    <row r="216" spans="1:27" x14ac:dyDescent="0.25">
      <c r="A216" s="12">
        <v>43343</v>
      </c>
      <c r="B216" s="9">
        <v>0</v>
      </c>
      <c r="C216" s="9">
        <v>93.966673</v>
      </c>
      <c r="D216" s="9">
        <v>93.683384000000004</v>
      </c>
      <c r="E216" s="9">
        <v>101.5672</v>
      </c>
      <c r="F216" s="9">
        <v>4.8</v>
      </c>
      <c r="G216" s="9">
        <v>50.6</v>
      </c>
      <c r="H216" s="9">
        <v>9</v>
      </c>
      <c r="I216" s="9">
        <v>0</v>
      </c>
      <c r="J216" s="9">
        <v>2.2999999999999998</v>
      </c>
      <c r="K216" s="9">
        <v>4.0999999999999996</v>
      </c>
      <c r="L216" s="9">
        <v>2.2665000000000002</v>
      </c>
      <c r="M216" s="9">
        <v>4.8</v>
      </c>
      <c r="N216" s="9">
        <v>3.9</v>
      </c>
      <c r="O216" s="9">
        <v>8.1999999999999993</v>
      </c>
      <c r="P216" s="9">
        <v>11.516139000000001</v>
      </c>
      <c r="Q216" s="9">
        <v>6.9705125909385757</v>
      </c>
      <c r="R216" s="9">
        <v>10.424358167625689</v>
      </c>
      <c r="S216" s="9">
        <v>156882.80563700001</v>
      </c>
      <c r="T216" s="9">
        <v>220.73979199999999</v>
      </c>
      <c r="U216" s="9">
        <v>6.1</v>
      </c>
      <c r="V216" s="9">
        <v>0.5</v>
      </c>
      <c r="W216" s="9">
        <v>187.3</v>
      </c>
      <c r="X216" s="9">
        <v>538324.64430000004</v>
      </c>
      <c r="Y216" s="9">
        <v>1788670.43</v>
      </c>
      <c r="Z216" s="9">
        <v>52.2</v>
      </c>
      <c r="AA216" s="9">
        <v>47.4</v>
      </c>
    </row>
    <row r="217" spans="1:27" x14ac:dyDescent="0.25">
      <c r="A217" s="13">
        <v>43373</v>
      </c>
      <c r="B217" s="10">
        <v>6.7</v>
      </c>
      <c r="C217" s="10">
        <v>93.793009999999995</v>
      </c>
      <c r="D217" s="10">
        <v>92.544970000000006</v>
      </c>
      <c r="E217" s="10">
        <v>101.089</v>
      </c>
      <c r="F217" s="10">
        <v>4.5999999999999996</v>
      </c>
      <c r="G217" s="10">
        <v>51</v>
      </c>
      <c r="H217" s="10">
        <v>9.1999999999999993</v>
      </c>
      <c r="I217" s="10">
        <v>2.8254000000000001</v>
      </c>
      <c r="J217" s="10">
        <v>2.5</v>
      </c>
      <c r="K217" s="10">
        <v>3.6</v>
      </c>
      <c r="L217" s="10">
        <v>2.6463000000000001</v>
      </c>
      <c r="M217" s="10">
        <v>4.2</v>
      </c>
      <c r="N217" s="10">
        <v>4</v>
      </c>
      <c r="O217" s="10">
        <v>8.3000000000000007</v>
      </c>
      <c r="P217" s="10">
        <v>11.208432999999999</v>
      </c>
      <c r="Q217" s="10">
        <v>7.3126304989875353</v>
      </c>
      <c r="R217" s="10">
        <v>10.45916875640534</v>
      </c>
      <c r="S217" s="10">
        <v>179944.05575599999</v>
      </c>
      <c r="T217" s="10">
        <v>222.902905</v>
      </c>
      <c r="U217" s="10">
        <v>5.8</v>
      </c>
      <c r="V217" s="10">
        <v>0.45</v>
      </c>
      <c r="W217" s="10">
        <v>201.8</v>
      </c>
      <c r="X217" s="10">
        <v>538574.08000000007</v>
      </c>
      <c r="Y217" s="10">
        <v>1801665.5799999998</v>
      </c>
      <c r="Z217" s="10">
        <v>52</v>
      </c>
      <c r="AA217" s="10">
        <v>47.4</v>
      </c>
    </row>
    <row r="218" spans="1:27" x14ac:dyDescent="0.25">
      <c r="A218" s="13">
        <v>43404</v>
      </c>
      <c r="B218" s="10">
        <v>0</v>
      </c>
      <c r="C218" s="10">
        <v>93.881923999999998</v>
      </c>
      <c r="D218" s="10">
        <v>93.602423000000002</v>
      </c>
      <c r="E218" s="10">
        <v>100.53400000000001</v>
      </c>
      <c r="F218" s="10">
        <v>3.7</v>
      </c>
      <c r="G218" s="10">
        <v>50.1</v>
      </c>
      <c r="H218" s="10">
        <v>8.6</v>
      </c>
      <c r="I218" s="10">
        <v>0</v>
      </c>
      <c r="J218" s="10">
        <v>2.5</v>
      </c>
      <c r="K218" s="10">
        <v>3.3</v>
      </c>
      <c r="L218" s="10">
        <v>2.7942999999999998</v>
      </c>
      <c r="M218" s="10">
        <v>4</v>
      </c>
      <c r="N218" s="10">
        <v>2.7</v>
      </c>
      <c r="O218" s="10">
        <v>8</v>
      </c>
      <c r="P218" s="10">
        <v>10.789977</v>
      </c>
      <c r="Q218" s="10">
        <v>6.9671907791951551</v>
      </c>
      <c r="R218" s="10">
        <v>10.246116182316561</v>
      </c>
      <c r="S218" s="10">
        <v>189481.85874200001</v>
      </c>
      <c r="T218" s="10">
        <v>223.74700799999999</v>
      </c>
      <c r="U218" s="10">
        <v>5.9</v>
      </c>
      <c r="V218" s="10">
        <v>0.47</v>
      </c>
      <c r="W218" s="10">
        <v>195.6</v>
      </c>
      <c r="X218" s="10">
        <v>540128.36550000007</v>
      </c>
      <c r="Y218" s="10">
        <v>1795561.6</v>
      </c>
      <c r="Z218" s="10">
        <v>50.8</v>
      </c>
      <c r="AA218" s="10">
        <v>47.1</v>
      </c>
    </row>
    <row r="219" spans="1:27" x14ac:dyDescent="0.25">
      <c r="A219" s="13">
        <v>43434</v>
      </c>
      <c r="B219" s="10">
        <v>0</v>
      </c>
      <c r="C219" s="10">
        <v>93.220842000000005</v>
      </c>
      <c r="D219" s="10">
        <v>93.122844999999998</v>
      </c>
      <c r="E219" s="10">
        <v>100.0294</v>
      </c>
      <c r="F219" s="10">
        <v>1.8</v>
      </c>
      <c r="G219" s="10">
        <v>50.1</v>
      </c>
      <c r="H219" s="10">
        <v>8.1</v>
      </c>
      <c r="I219" s="10">
        <v>0</v>
      </c>
      <c r="J219" s="10">
        <v>2.2000000000000002</v>
      </c>
      <c r="K219" s="10">
        <v>2.7</v>
      </c>
      <c r="L219" s="10">
        <v>2.1520999999999999</v>
      </c>
      <c r="M219" s="10">
        <v>3.3</v>
      </c>
      <c r="N219" s="10">
        <v>1.5</v>
      </c>
      <c r="O219" s="10">
        <v>8</v>
      </c>
      <c r="P219" s="10">
        <v>10.307183</v>
      </c>
      <c r="Q219" s="10">
        <v>6.8229542061788893</v>
      </c>
      <c r="R219" s="10">
        <v>9.8358597097897214</v>
      </c>
      <c r="S219" s="10">
        <v>205609.02399700001</v>
      </c>
      <c r="T219" s="10">
        <v>225.23889399999999</v>
      </c>
      <c r="U219" s="10">
        <v>5.4</v>
      </c>
      <c r="V219" s="10">
        <v>0.33</v>
      </c>
      <c r="W219" s="10">
        <v>204.3</v>
      </c>
      <c r="X219" s="10">
        <v>543498.66090000002</v>
      </c>
      <c r="Y219" s="10">
        <v>1813175.0649999999</v>
      </c>
      <c r="Z219" s="10">
        <v>50.4</v>
      </c>
      <c r="AA219" s="10">
        <v>48.6</v>
      </c>
    </row>
    <row r="220" spans="1:27" x14ac:dyDescent="0.25">
      <c r="A220" s="13">
        <v>43465</v>
      </c>
      <c r="B220" s="10">
        <v>6.5</v>
      </c>
      <c r="C220" s="10">
        <v>92.891705000000002</v>
      </c>
      <c r="D220" s="10">
        <v>92.944106000000005</v>
      </c>
      <c r="E220" s="10">
        <v>99.742099999999994</v>
      </c>
      <c r="F220" s="10">
        <v>1.5</v>
      </c>
      <c r="G220" s="10">
        <v>50.4</v>
      </c>
      <c r="H220" s="10">
        <v>8.1608140000000002</v>
      </c>
      <c r="I220" s="10">
        <v>1.6041000000000001</v>
      </c>
      <c r="J220" s="10">
        <v>1.9</v>
      </c>
      <c r="K220" s="10">
        <v>0.9</v>
      </c>
      <c r="L220" s="10">
        <v>1.4330000000000001</v>
      </c>
      <c r="M220" s="10">
        <v>1.6</v>
      </c>
      <c r="N220" s="10">
        <v>1.5</v>
      </c>
      <c r="O220" s="10">
        <v>8.1</v>
      </c>
      <c r="P220" s="10">
        <v>10.259731</v>
      </c>
      <c r="Q220" s="10">
        <v>6.8120103102014289</v>
      </c>
      <c r="R220" s="10">
        <v>10.192402382463939</v>
      </c>
      <c r="S220" s="10">
        <v>224920.19808100001</v>
      </c>
      <c r="T220" s="10">
        <v>227.03560100000001</v>
      </c>
      <c r="U220" s="10">
        <v>5.7</v>
      </c>
      <c r="V220" s="10">
        <v>0.49</v>
      </c>
      <c r="W220" s="10">
        <v>220.2</v>
      </c>
      <c r="X220" s="10">
        <v>551685.90749999997</v>
      </c>
      <c r="Y220" s="10">
        <v>1826744.216</v>
      </c>
      <c r="Z220" s="10">
        <v>49.7</v>
      </c>
      <c r="AA220" s="10">
        <v>48.2</v>
      </c>
    </row>
    <row r="221" spans="1:27" x14ac:dyDescent="0.25">
      <c r="A221" s="13">
        <v>43496</v>
      </c>
      <c r="B221" s="10">
        <v>0</v>
      </c>
      <c r="C221" s="10">
        <v>91.141684999999995</v>
      </c>
      <c r="D221" s="10">
        <v>91.057230000000004</v>
      </c>
      <c r="E221" s="10">
        <v>99.820000000000007</v>
      </c>
      <c r="F221" s="10">
        <v>2.5</v>
      </c>
      <c r="G221" s="10">
        <v>51</v>
      </c>
      <c r="H221" s="10">
        <v>0</v>
      </c>
      <c r="I221" s="10">
        <v>0</v>
      </c>
      <c r="J221" s="10">
        <v>1.7</v>
      </c>
      <c r="K221" s="10">
        <v>0.1</v>
      </c>
      <c r="L221" s="10">
        <v>0.95750000000000002</v>
      </c>
      <c r="M221" s="10">
        <v>0.2</v>
      </c>
      <c r="N221" s="10">
        <v>0.4</v>
      </c>
      <c r="O221" s="10">
        <v>8.4</v>
      </c>
      <c r="P221" s="10">
        <v>10.851788000000001</v>
      </c>
      <c r="Q221" s="10">
        <v>7.5120386693499643</v>
      </c>
      <c r="R221" s="10">
        <v>10.369085199633471</v>
      </c>
      <c r="S221" s="10">
        <v>46791.139268999999</v>
      </c>
      <c r="T221" s="10">
        <v>231.54765</v>
      </c>
      <c r="U221" s="10">
        <v>6.7977530000000002</v>
      </c>
      <c r="V221" s="10">
        <v>0.45</v>
      </c>
      <c r="W221" s="10">
        <v>190.1</v>
      </c>
      <c r="X221" s="10">
        <v>545638.46</v>
      </c>
      <c r="Y221" s="10">
        <v>1865935.3299999998</v>
      </c>
      <c r="Z221" s="10">
        <v>49.6</v>
      </c>
      <c r="AA221" s="10">
        <v>47.1</v>
      </c>
    </row>
    <row r="222" spans="1:27" x14ac:dyDescent="0.25">
      <c r="A222" s="13">
        <v>43524</v>
      </c>
      <c r="B222" s="10">
        <v>0</v>
      </c>
      <c r="C222" s="10">
        <v>90.078164999999998</v>
      </c>
      <c r="D222" s="10">
        <v>89.721417000000002</v>
      </c>
      <c r="E222" s="10">
        <v>99.714799999999997</v>
      </c>
      <c r="F222" s="10">
        <v>4.2</v>
      </c>
      <c r="G222" s="10">
        <v>50.7</v>
      </c>
      <c r="H222" s="10">
        <v>8.1999999999999993</v>
      </c>
      <c r="I222" s="10">
        <v>0</v>
      </c>
      <c r="J222" s="10">
        <v>1.5</v>
      </c>
      <c r="K222" s="10">
        <v>0.1</v>
      </c>
      <c r="L222" s="10">
        <v>1.0008999999999999</v>
      </c>
      <c r="M222" s="10">
        <v>-0.1</v>
      </c>
      <c r="N222" s="10">
        <v>2</v>
      </c>
      <c r="O222" s="10">
        <v>8</v>
      </c>
      <c r="P222" s="10">
        <v>10.645690999999999</v>
      </c>
      <c r="Q222" s="10">
        <v>7.6783436906212676</v>
      </c>
      <c r="R222" s="10">
        <v>10.580274812767311</v>
      </c>
      <c r="S222" s="10">
        <v>56456.265954000002</v>
      </c>
      <c r="T222" s="10">
        <v>232.41019800000001</v>
      </c>
      <c r="U222" s="10">
        <v>3.3607170000000002</v>
      </c>
      <c r="V222" s="10">
        <v>0.47</v>
      </c>
      <c r="W222" s="10">
        <v>138.4</v>
      </c>
      <c r="X222" s="10">
        <v>527190.48</v>
      </c>
      <c r="Y222" s="10">
        <v>1867427.4500000002</v>
      </c>
      <c r="Z222" s="10">
        <v>50.6</v>
      </c>
      <c r="AA222" s="10">
        <v>46.4</v>
      </c>
    </row>
    <row r="223" spans="1:27" x14ac:dyDescent="0.25">
      <c r="A223" s="13">
        <v>43555</v>
      </c>
      <c r="B223" s="10">
        <v>6.4</v>
      </c>
      <c r="C223" s="10">
        <v>90.124753999999996</v>
      </c>
      <c r="D223" s="10">
        <v>89.969806000000005</v>
      </c>
      <c r="E223" s="10">
        <v>99.50330000000001</v>
      </c>
      <c r="F223" s="10">
        <v>4.5999999999999996</v>
      </c>
      <c r="G223" s="10">
        <v>52.5</v>
      </c>
      <c r="H223" s="10">
        <v>8.6999999999999993</v>
      </c>
      <c r="I223" s="10">
        <v>0.91149999999999998</v>
      </c>
      <c r="J223" s="10">
        <v>2.2999999999999998</v>
      </c>
      <c r="K223" s="10">
        <v>0.4</v>
      </c>
      <c r="L223" s="10">
        <v>1.9152</v>
      </c>
      <c r="M223" s="10">
        <v>0.2</v>
      </c>
      <c r="N223" s="10">
        <v>4.5999999999999996</v>
      </c>
      <c r="O223" s="10">
        <v>8.6</v>
      </c>
      <c r="P223" s="10">
        <v>11.162117</v>
      </c>
      <c r="Q223" s="10">
        <v>8.2201595308290454</v>
      </c>
      <c r="R223" s="10">
        <v>11.56250977275214</v>
      </c>
      <c r="S223" s="10">
        <v>86058.602488000004</v>
      </c>
      <c r="T223" s="10">
        <v>235.239981</v>
      </c>
      <c r="U223" s="10">
        <v>8.5</v>
      </c>
      <c r="V223" s="10">
        <v>0.83</v>
      </c>
      <c r="W223" s="10">
        <v>208.3</v>
      </c>
      <c r="X223" s="10">
        <v>547575.54229999997</v>
      </c>
      <c r="Y223" s="10">
        <v>1889412.1369999999</v>
      </c>
      <c r="Z223" s="10">
        <v>51.6</v>
      </c>
      <c r="AA223" s="10">
        <v>47</v>
      </c>
    </row>
    <row r="224" spans="1:27" x14ac:dyDescent="0.25">
      <c r="A224" s="13">
        <v>43585</v>
      </c>
      <c r="B224" s="10">
        <v>0</v>
      </c>
      <c r="C224" s="10">
        <v>90.345641000000001</v>
      </c>
      <c r="D224" s="10">
        <v>90.569470999999993</v>
      </c>
      <c r="E224" s="10">
        <v>99.242499999999993</v>
      </c>
      <c r="F224" s="10">
        <v>4.9000000000000004</v>
      </c>
      <c r="G224" s="10">
        <v>50.8</v>
      </c>
      <c r="H224" s="10">
        <v>7.2</v>
      </c>
      <c r="I224" s="10">
        <v>0</v>
      </c>
      <c r="J224" s="10">
        <v>2.5</v>
      </c>
      <c r="K224" s="10">
        <v>0.9</v>
      </c>
      <c r="L224" s="10">
        <v>1.9931000000000001</v>
      </c>
      <c r="M224" s="10">
        <v>0.4</v>
      </c>
      <c r="N224" s="10">
        <v>2.9</v>
      </c>
      <c r="O224" s="10">
        <v>8.5</v>
      </c>
      <c r="P224" s="10">
        <v>10.805548</v>
      </c>
      <c r="Q224" s="10">
        <v>8.6081711592636712</v>
      </c>
      <c r="R224" s="10">
        <v>11.15067546316601</v>
      </c>
      <c r="S224" s="10">
        <v>102768.140656</v>
      </c>
      <c r="T224" s="10">
        <v>236.81181000000001</v>
      </c>
      <c r="U224" s="10">
        <v>5.4</v>
      </c>
      <c r="V224" s="10">
        <v>0.25</v>
      </c>
      <c r="W224" s="10">
        <v>186.5</v>
      </c>
      <c r="X224" s="10">
        <v>540614.60459999996</v>
      </c>
      <c r="Y224" s="10">
        <v>1884670.327</v>
      </c>
      <c r="Z224" s="10">
        <v>51.4</v>
      </c>
      <c r="AA224" s="10">
        <v>46.5</v>
      </c>
    </row>
    <row r="225" spans="1:27" x14ac:dyDescent="0.25">
      <c r="A225" s="13">
        <v>43616</v>
      </c>
      <c r="B225" s="10">
        <v>0</v>
      </c>
      <c r="C225" s="10">
        <v>89.790989999999994</v>
      </c>
      <c r="D225" s="10">
        <v>89.547006999999994</v>
      </c>
      <c r="E225" s="10">
        <v>98.837300000000013</v>
      </c>
      <c r="F225" s="10">
        <v>1.7</v>
      </c>
      <c r="G225" s="10">
        <v>50.3</v>
      </c>
      <c r="H225" s="10">
        <v>8.6</v>
      </c>
      <c r="I225" s="10">
        <v>0</v>
      </c>
      <c r="J225" s="10">
        <v>2.7</v>
      </c>
      <c r="K225" s="10">
        <v>0.6</v>
      </c>
      <c r="L225" s="10">
        <v>2.1</v>
      </c>
      <c r="M225" s="10">
        <v>0.2</v>
      </c>
      <c r="N225" s="10">
        <v>3.4</v>
      </c>
      <c r="O225" s="10">
        <v>8.5</v>
      </c>
      <c r="P225" s="10">
        <v>11.025001</v>
      </c>
      <c r="Q225" s="10">
        <v>8.977750657657861</v>
      </c>
      <c r="R225" s="10">
        <v>11.483855081445681</v>
      </c>
      <c r="S225" s="10">
        <v>119891.869935</v>
      </c>
      <c r="T225" s="10">
        <v>238.495802</v>
      </c>
      <c r="U225" s="10">
        <v>5</v>
      </c>
      <c r="V225" s="10">
        <v>0.5</v>
      </c>
      <c r="W225" s="10">
        <v>194.1</v>
      </c>
      <c r="X225" s="10">
        <v>544355.64</v>
      </c>
      <c r="Y225" s="10">
        <v>1891153.7</v>
      </c>
      <c r="Z225" s="10">
        <v>49.8</v>
      </c>
      <c r="AA225" s="10">
        <v>48.1</v>
      </c>
    </row>
    <row r="226" spans="1:27" x14ac:dyDescent="0.25">
      <c r="A226" s="13">
        <v>43646</v>
      </c>
      <c r="B226" s="10">
        <v>6.1</v>
      </c>
      <c r="C226" s="10">
        <v>90.486272</v>
      </c>
      <c r="D226" s="10">
        <v>90.092962</v>
      </c>
      <c r="E226" s="10">
        <v>98.515599999999992</v>
      </c>
      <c r="F226" s="10">
        <v>1.5</v>
      </c>
      <c r="G226" s="10">
        <v>51.5</v>
      </c>
      <c r="H226" s="10">
        <v>9.8000000000000007</v>
      </c>
      <c r="I226" s="10">
        <v>1.5699000000000001</v>
      </c>
      <c r="J226" s="10">
        <v>2.7</v>
      </c>
      <c r="K226" s="10">
        <v>0</v>
      </c>
      <c r="L226" s="10">
        <v>1.8051140000000001</v>
      </c>
      <c r="M226" s="10">
        <v>-0.3</v>
      </c>
      <c r="N226" s="10">
        <v>4.4000000000000004</v>
      </c>
      <c r="O226" s="10">
        <v>8.5</v>
      </c>
      <c r="P226" s="10">
        <v>11.193424</v>
      </c>
      <c r="Q226" s="10">
        <v>8.7388725600291171</v>
      </c>
      <c r="R226" s="10">
        <v>11.353876484897819</v>
      </c>
      <c r="S226" s="10">
        <v>146135.17194</v>
      </c>
      <c r="T226" s="10">
        <v>241.04833500000001</v>
      </c>
      <c r="U226" s="10">
        <v>6.3</v>
      </c>
      <c r="V226" s="10">
        <v>0.67</v>
      </c>
      <c r="W226" s="10">
        <v>220.7</v>
      </c>
      <c r="X226" s="10">
        <v>567696.18319999997</v>
      </c>
      <c r="Y226" s="10">
        <v>1921360.1900000002</v>
      </c>
      <c r="Z226" s="10">
        <v>49.6</v>
      </c>
      <c r="AA226" s="10">
        <v>48.1</v>
      </c>
    </row>
    <row r="227" spans="1:27" x14ac:dyDescent="0.25">
      <c r="A227" s="13">
        <v>43677</v>
      </c>
      <c r="B227" s="10">
        <v>0</v>
      </c>
      <c r="C227" s="10">
        <v>88.799587000000002</v>
      </c>
      <c r="D227" s="10">
        <v>88.873215000000002</v>
      </c>
      <c r="E227" s="10">
        <v>98.39439999999999</v>
      </c>
      <c r="F227" s="10">
        <v>2.8</v>
      </c>
      <c r="G227" s="10">
        <v>50.4</v>
      </c>
      <c r="H227" s="10">
        <v>7.6</v>
      </c>
      <c r="I227" s="10">
        <v>0</v>
      </c>
      <c r="J227" s="10">
        <v>2.8</v>
      </c>
      <c r="K227" s="10">
        <v>-0.3</v>
      </c>
      <c r="L227" s="10">
        <v>1.7688079999999999</v>
      </c>
      <c r="M227" s="10">
        <v>-0.6</v>
      </c>
      <c r="N227" s="10">
        <v>3.1</v>
      </c>
      <c r="O227" s="10">
        <v>8.1</v>
      </c>
      <c r="P227" s="10">
        <v>10.848680999999999</v>
      </c>
      <c r="Q227" s="10">
        <v>7.7576072946654264</v>
      </c>
      <c r="R227" s="10">
        <v>10.94552222753026</v>
      </c>
      <c r="S227" s="10">
        <v>159007.282213</v>
      </c>
      <c r="T227" s="10">
        <v>242.193997</v>
      </c>
      <c r="U227" s="10">
        <v>4.8</v>
      </c>
      <c r="V227" s="10">
        <v>0.36</v>
      </c>
      <c r="W227" s="10">
        <v>195.6</v>
      </c>
      <c r="X227" s="10">
        <v>553043.10790000006</v>
      </c>
      <c r="Y227" s="10">
        <v>1919410.8159999999</v>
      </c>
      <c r="Z227" s="10">
        <v>49.8</v>
      </c>
      <c r="AA227" s="10">
        <v>47</v>
      </c>
    </row>
    <row r="228" spans="1:27" x14ac:dyDescent="0.25">
      <c r="A228" s="13">
        <v>43708</v>
      </c>
      <c r="B228" s="10">
        <v>0</v>
      </c>
      <c r="C228" s="10">
        <v>86.904148000000006</v>
      </c>
      <c r="D228" s="10">
        <v>87.009118999999998</v>
      </c>
      <c r="E228" s="10">
        <v>98.414800000000014</v>
      </c>
      <c r="F228" s="10">
        <v>1.9</v>
      </c>
      <c r="G228" s="10">
        <v>50.1</v>
      </c>
      <c r="H228" s="10">
        <v>7.5</v>
      </c>
      <c r="I228" s="10">
        <v>0</v>
      </c>
      <c r="J228" s="10">
        <v>2.8</v>
      </c>
      <c r="K228" s="10">
        <v>-0.8</v>
      </c>
      <c r="L228" s="10">
        <v>1.794019</v>
      </c>
      <c r="M228" s="10">
        <v>-1.3</v>
      </c>
      <c r="N228" s="10">
        <v>3.4</v>
      </c>
      <c r="O228" s="10">
        <v>8.1999999999999993</v>
      </c>
      <c r="P228" s="10">
        <v>10.676171999999999</v>
      </c>
      <c r="Q228" s="10">
        <v>8.3889036823887633</v>
      </c>
      <c r="R228" s="10">
        <v>10.821774721846189</v>
      </c>
      <c r="S228" s="10">
        <v>180963.047226</v>
      </c>
      <c r="T228" s="10">
        <v>244.306352</v>
      </c>
      <c r="U228" s="10">
        <v>4.4000000000000004</v>
      </c>
      <c r="V228" s="10">
        <v>0.45</v>
      </c>
      <c r="W228" s="10">
        <v>195.5</v>
      </c>
      <c r="X228" s="10">
        <v>556798.08750000002</v>
      </c>
      <c r="Y228" s="10">
        <v>1935492.4279999998</v>
      </c>
      <c r="Z228" s="10">
        <v>49.7</v>
      </c>
      <c r="AA228" s="10">
        <v>47.8</v>
      </c>
    </row>
    <row r="229" spans="1:27" x14ac:dyDescent="0.25">
      <c r="A229" s="13">
        <v>43738</v>
      </c>
      <c r="B229" s="10">
        <v>6</v>
      </c>
      <c r="C229" s="10">
        <v>86.392268000000001</v>
      </c>
      <c r="D229" s="10">
        <v>87.723564999999994</v>
      </c>
      <c r="E229" s="10">
        <v>98.071599999999989</v>
      </c>
      <c r="F229" s="10">
        <v>3.4</v>
      </c>
      <c r="G229" s="10">
        <v>50.5</v>
      </c>
      <c r="H229" s="10">
        <v>7.8</v>
      </c>
      <c r="I229" s="10">
        <v>0.41110000000000002</v>
      </c>
      <c r="J229" s="10">
        <v>3</v>
      </c>
      <c r="K229" s="10">
        <v>-1.2</v>
      </c>
      <c r="L229" s="10">
        <v>1.9</v>
      </c>
      <c r="M229" s="10">
        <v>-1.7</v>
      </c>
      <c r="N229" s="10">
        <v>3.4</v>
      </c>
      <c r="O229" s="10">
        <v>8.4</v>
      </c>
      <c r="P229" s="10">
        <v>10.666387</v>
      </c>
      <c r="Q229" s="10">
        <v>8.1503320508344395</v>
      </c>
      <c r="R229" s="10">
        <v>10.74177205515006</v>
      </c>
      <c r="S229" s="10">
        <v>206105.257682</v>
      </c>
      <c r="T229" s="10">
        <v>246.67859100000001</v>
      </c>
      <c r="U229" s="10">
        <v>5.8</v>
      </c>
      <c r="V229" s="10">
        <v>0.8</v>
      </c>
      <c r="W229" s="10">
        <v>213.5</v>
      </c>
      <c r="X229" s="10">
        <v>557137.95000000007</v>
      </c>
      <c r="Y229" s="10">
        <v>1952250.4859999998</v>
      </c>
      <c r="Z229" s="10">
        <v>50.5</v>
      </c>
      <c r="AA229" s="10">
        <v>47.1</v>
      </c>
    </row>
    <row r="230" spans="1:27" x14ac:dyDescent="0.25">
      <c r="A230" s="13">
        <v>43769</v>
      </c>
      <c r="B230" s="10">
        <v>0</v>
      </c>
      <c r="C230" s="10">
        <v>85.509370000000004</v>
      </c>
      <c r="D230" s="10">
        <v>86.336547999999993</v>
      </c>
      <c r="E230" s="10">
        <v>96.886200000000002</v>
      </c>
      <c r="F230" s="10">
        <v>2.9</v>
      </c>
      <c r="G230" s="10">
        <v>49.4</v>
      </c>
      <c r="H230" s="10">
        <v>7.2</v>
      </c>
      <c r="I230" s="10">
        <v>0</v>
      </c>
      <c r="J230" s="10">
        <v>3.8</v>
      </c>
      <c r="K230" s="10">
        <v>-1.6</v>
      </c>
      <c r="L230" s="10">
        <v>2.2413750000000001</v>
      </c>
      <c r="M230" s="10">
        <v>-2.1</v>
      </c>
      <c r="N230" s="10">
        <v>3.3</v>
      </c>
      <c r="O230" s="10">
        <v>8.4</v>
      </c>
      <c r="P230" s="10">
        <v>10.581898000000001</v>
      </c>
      <c r="Q230" s="10">
        <v>8.024000831932069</v>
      </c>
      <c r="R230" s="10">
        <v>10.50132359302707</v>
      </c>
      <c r="S230" s="10">
        <v>214785.259804</v>
      </c>
      <c r="T230" s="10">
        <v>247.423688</v>
      </c>
      <c r="U230" s="10">
        <v>4.7</v>
      </c>
      <c r="V230" s="10">
        <v>0.38</v>
      </c>
      <c r="W230" s="10">
        <v>204.8</v>
      </c>
      <c r="X230" s="10">
        <v>558143.9216</v>
      </c>
      <c r="Y230" s="10">
        <v>1945600.548</v>
      </c>
      <c r="Z230" s="10">
        <v>49.6</v>
      </c>
      <c r="AA230" s="10">
        <v>46.7</v>
      </c>
    </row>
    <row r="231" spans="1:27" x14ac:dyDescent="0.25">
      <c r="A231" s="13">
        <v>43799</v>
      </c>
      <c r="B231" s="10">
        <v>0</v>
      </c>
      <c r="C231" s="10">
        <v>86.603809999999996</v>
      </c>
      <c r="D231" s="10">
        <v>86.629255999999998</v>
      </c>
      <c r="E231" s="10">
        <v>94.506399999999999</v>
      </c>
      <c r="F231" s="10">
        <v>4.9000000000000004</v>
      </c>
      <c r="G231" s="10">
        <v>51.3</v>
      </c>
      <c r="H231" s="10">
        <v>8</v>
      </c>
      <c r="I231" s="10">
        <v>0</v>
      </c>
      <c r="J231" s="10">
        <v>4.5</v>
      </c>
      <c r="K231" s="10">
        <v>-1.4</v>
      </c>
      <c r="L231" s="10">
        <v>3.0403210000000001</v>
      </c>
      <c r="M231" s="10">
        <v>-2.2000000000000002</v>
      </c>
      <c r="N231" s="10">
        <v>3.5</v>
      </c>
      <c r="O231" s="10">
        <v>8.1999999999999993</v>
      </c>
      <c r="P231" s="10">
        <v>10.669226999999999</v>
      </c>
      <c r="Q231" s="10">
        <v>7.9187201377621612</v>
      </c>
      <c r="R231" s="10">
        <v>10.57845728107735</v>
      </c>
      <c r="S231" s="10">
        <v>234722.176037</v>
      </c>
      <c r="T231" s="10">
        <v>249.27014299999999</v>
      </c>
      <c r="U231" s="10">
        <v>6.2</v>
      </c>
      <c r="V231" s="10">
        <v>0.84</v>
      </c>
      <c r="W231" s="10">
        <v>217</v>
      </c>
      <c r="X231" s="10">
        <v>562486.51839999994</v>
      </c>
      <c r="Y231" s="10">
        <v>1961429.5620000002</v>
      </c>
      <c r="Z231" s="10">
        <v>51.3</v>
      </c>
      <c r="AA231" s="10">
        <v>46.4</v>
      </c>
    </row>
    <row r="232" spans="1:27" x14ac:dyDescent="0.25">
      <c r="A232" s="13">
        <v>43830</v>
      </c>
      <c r="B232" s="10">
        <v>5.9</v>
      </c>
      <c r="C232" s="10">
        <v>88.254088999999993</v>
      </c>
      <c r="D232" s="10">
        <v>88.359160000000003</v>
      </c>
      <c r="E232" s="10">
        <v>91.182699999999997</v>
      </c>
      <c r="F232" s="10">
        <v>5.6</v>
      </c>
      <c r="G232" s="10">
        <v>50.4</v>
      </c>
      <c r="H232" s="10">
        <v>8</v>
      </c>
      <c r="I232" s="10">
        <v>3.4243000000000001</v>
      </c>
      <c r="J232" s="10">
        <v>4.5</v>
      </c>
      <c r="K232" s="10">
        <v>-0.5</v>
      </c>
      <c r="L232" s="10">
        <v>3.4178320000000002</v>
      </c>
      <c r="M232" s="10">
        <v>-1.3</v>
      </c>
      <c r="N232" s="10">
        <v>4.4000000000000004</v>
      </c>
      <c r="O232" s="10">
        <v>8.6999999999999993</v>
      </c>
      <c r="P232" s="10">
        <v>10.692755999999999</v>
      </c>
      <c r="Q232" s="10">
        <v>8.4498320777042277</v>
      </c>
      <c r="R232" s="10">
        <v>10.72272647883643</v>
      </c>
      <c r="S232" s="10">
        <v>255753</v>
      </c>
      <c r="T232" s="10">
        <v>251.31196399999999</v>
      </c>
      <c r="U232" s="10">
        <v>6.9</v>
      </c>
      <c r="V232" s="10">
        <v>0.6</v>
      </c>
      <c r="W232" s="10">
        <v>235.4</v>
      </c>
      <c r="X232" s="10">
        <v>576009.14999999991</v>
      </c>
      <c r="Y232" s="10">
        <v>1986488.82</v>
      </c>
      <c r="Z232" s="10">
        <v>51.2</v>
      </c>
      <c r="AA232" s="10">
        <v>45.6</v>
      </c>
    </row>
    <row r="233" spans="1:27" x14ac:dyDescent="0.25">
      <c r="A233" s="13">
        <v>43861</v>
      </c>
      <c r="B233" s="10">
        <v>0</v>
      </c>
      <c r="C233" s="10">
        <v>88.559364000000002</v>
      </c>
      <c r="D233" s="10">
        <v>89.093065999999993</v>
      </c>
      <c r="E233" s="10">
        <v>88.025800000000004</v>
      </c>
      <c r="F233" s="10">
        <v>5.4</v>
      </c>
      <c r="G233" s="10">
        <v>50.6</v>
      </c>
      <c r="H233" s="10">
        <v>0</v>
      </c>
      <c r="I233" s="10">
        <v>0</v>
      </c>
      <c r="J233" s="10">
        <v>5.4</v>
      </c>
      <c r="K233" s="10">
        <v>0.1</v>
      </c>
      <c r="L233" s="10">
        <v>4.3403499999999999</v>
      </c>
      <c r="M233" s="10">
        <v>-0.3</v>
      </c>
      <c r="N233" s="10">
        <v>0</v>
      </c>
      <c r="O233" s="10">
        <v>8.4</v>
      </c>
      <c r="P233" s="10">
        <v>10.7</v>
      </c>
      <c r="Q233" s="10">
        <v>8.3066343062322847</v>
      </c>
      <c r="R233" s="10">
        <v>10.52600259527914</v>
      </c>
      <c r="S233" s="10">
        <v>50535</v>
      </c>
      <c r="T233" s="10">
        <v>256.33999999999997</v>
      </c>
      <c r="U233" s="10">
        <v>-4.3135190000000003</v>
      </c>
      <c r="V233" s="10">
        <v>-2.3199999999999998</v>
      </c>
      <c r="W233" s="10">
        <v>181.9</v>
      </c>
      <c r="X233" s="10">
        <v>545531.79</v>
      </c>
      <c r="Y233" s="10">
        <v>2023066.49</v>
      </c>
      <c r="Z233" s="10">
        <v>51.4</v>
      </c>
      <c r="AA233" s="10">
        <v>46</v>
      </c>
    </row>
    <row r="234" spans="1:27" x14ac:dyDescent="0.25">
      <c r="A234" s="13">
        <v>43890</v>
      </c>
      <c r="B234" s="10">
        <v>0</v>
      </c>
      <c r="C234" s="10">
        <v>79.206847999999994</v>
      </c>
      <c r="D234" s="10">
        <v>81.646820000000005</v>
      </c>
      <c r="E234" s="10">
        <v>86.369</v>
      </c>
      <c r="F234" s="10">
        <v>-16.8</v>
      </c>
      <c r="G234" s="10">
        <v>26.5</v>
      </c>
      <c r="H234" s="10">
        <v>-20.5</v>
      </c>
      <c r="I234" s="10">
        <v>0</v>
      </c>
      <c r="J234" s="10">
        <v>5.2</v>
      </c>
      <c r="K234" s="10">
        <v>-0.4</v>
      </c>
      <c r="L234" s="10">
        <v>4.2070869999999996</v>
      </c>
      <c r="M234" s="10">
        <v>-0.5</v>
      </c>
      <c r="N234" s="10">
        <v>4.8</v>
      </c>
      <c r="O234" s="10">
        <v>8.8000000000000007</v>
      </c>
      <c r="P234" s="10">
        <v>10.7</v>
      </c>
      <c r="Q234" s="10">
        <v>8.5036450978045348</v>
      </c>
      <c r="R234" s="10">
        <v>10.455416165097549</v>
      </c>
      <c r="S234" s="10">
        <v>59272</v>
      </c>
      <c r="T234" s="10">
        <v>257.17</v>
      </c>
      <c r="U234" s="10">
        <v>-25.867052000000001</v>
      </c>
      <c r="V234" s="10">
        <v>-22.1</v>
      </c>
      <c r="W234" s="10">
        <v>102.6</v>
      </c>
      <c r="X234" s="10">
        <v>552700.73</v>
      </c>
      <c r="Y234" s="10">
        <v>2030830.42</v>
      </c>
      <c r="Z234" s="10">
        <v>29.3</v>
      </c>
      <c r="AA234" s="10">
        <v>46.1</v>
      </c>
    </row>
    <row r="235" spans="1:27" x14ac:dyDescent="0.25">
      <c r="A235" s="13">
        <v>43921</v>
      </c>
      <c r="B235" s="10">
        <v>-6.8</v>
      </c>
      <c r="C235" s="10">
        <v>83.913275999999996</v>
      </c>
      <c r="D235" s="10">
        <v>84.178449000000001</v>
      </c>
      <c r="E235" s="10">
        <v>86.832799999999992</v>
      </c>
      <c r="F235" s="10">
        <v>2.9</v>
      </c>
      <c r="G235" s="10">
        <v>49.2</v>
      </c>
      <c r="H235" s="10">
        <v>-15.8</v>
      </c>
      <c r="I235" s="10">
        <v>3.8128000000000002</v>
      </c>
      <c r="J235" s="10">
        <v>4.3</v>
      </c>
      <c r="K235" s="10">
        <v>-1.5</v>
      </c>
      <c r="L235" s="10">
        <v>2.7723070000000001</v>
      </c>
      <c r="M235" s="10">
        <v>-1.6</v>
      </c>
      <c r="N235" s="10">
        <v>5</v>
      </c>
      <c r="O235" s="10">
        <v>10.1</v>
      </c>
      <c r="P235" s="10">
        <v>11.5</v>
      </c>
      <c r="Q235" s="10">
        <v>9.7675438391932747</v>
      </c>
      <c r="R235" s="10">
        <v>11.25664557475184</v>
      </c>
      <c r="S235" s="10">
        <v>110767</v>
      </c>
      <c r="T235" s="10">
        <v>262.27</v>
      </c>
      <c r="U235" s="10">
        <v>-1.1000000000000001</v>
      </c>
      <c r="V235" s="10">
        <v>36.56</v>
      </c>
      <c r="W235" s="10">
        <v>206</v>
      </c>
      <c r="X235" s="10">
        <v>575050.28999999992</v>
      </c>
      <c r="Y235" s="10">
        <v>2080923.4100000001</v>
      </c>
      <c r="Z235" s="10">
        <v>52</v>
      </c>
      <c r="AA235" s="10">
        <v>49.1</v>
      </c>
    </row>
    <row r="236" spans="1:27" x14ac:dyDescent="0.25">
      <c r="A236" s="13">
        <v>43951</v>
      </c>
      <c r="B236" s="10">
        <v>0</v>
      </c>
      <c r="C236" s="10">
        <v>81.620851000000002</v>
      </c>
      <c r="D236" s="10">
        <v>81.737696999999997</v>
      </c>
      <c r="E236" s="10">
        <v>89.073000000000008</v>
      </c>
      <c r="F236" s="10">
        <v>0.9</v>
      </c>
      <c r="G236" s="10">
        <v>52.1</v>
      </c>
      <c r="H236" s="10">
        <v>-7.5</v>
      </c>
      <c r="I236" s="10">
        <v>0</v>
      </c>
      <c r="J236" s="10">
        <v>3.3</v>
      </c>
      <c r="K236" s="10">
        <v>-3.1</v>
      </c>
      <c r="L236" s="10">
        <v>1.7410730000000001</v>
      </c>
      <c r="M236" s="10">
        <v>-3.8</v>
      </c>
      <c r="N236" s="10">
        <v>5.5</v>
      </c>
      <c r="O236" s="10">
        <v>11.1</v>
      </c>
      <c r="P236" s="10">
        <v>12</v>
      </c>
      <c r="Q236" s="10">
        <v>10.78483739838642</v>
      </c>
      <c r="R236" s="10">
        <v>12.096493311894839</v>
      </c>
      <c r="S236" s="10">
        <v>141794</v>
      </c>
      <c r="T236" s="10">
        <v>265.22000000000003</v>
      </c>
      <c r="U236" s="10">
        <v>3.9</v>
      </c>
      <c r="V236" s="10">
        <v>1.89</v>
      </c>
      <c r="W236" s="10">
        <v>193.8</v>
      </c>
      <c r="X236" s="10">
        <v>570150.48</v>
      </c>
      <c r="Y236" s="10">
        <v>2093533.83</v>
      </c>
      <c r="Z236" s="10">
        <v>50.2</v>
      </c>
      <c r="AA236" s="10">
        <v>49.3</v>
      </c>
    </row>
    <row r="237" spans="1:27" x14ac:dyDescent="0.25">
      <c r="A237" s="13">
        <v>43982</v>
      </c>
      <c r="B237" s="10">
        <v>0</v>
      </c>
      <c r="C237" s="10">
        <v>83.190503000000007</v>
      </c>
      <c r="D237" s="10">
        <v>84.710885000000005</v>
      </c>
      <c r="E237" s="10">
        <v>92.114400000000003</v>
      </c>
      <c r="F237" s="10">
        <v>3.6</v>
      </c>
      <c r="G237" s="10">
        <v>52.6</v>
      </c>
      <c r="H237" s="10">
        <v>-2.8</v>
      </c>
      <c r="I237" s="10">
        <v>0</v>
      </c>
      <c r="J237" s="10">
        <v>2.4</v>
      </c>
      <c r="K237" s="10">
        <v>-3.7</v>
      </c>
      <c r="L237" s="10">
        <v>0.91169800000000001</v>
      </c>
      <c r="M237" s="10">
        <v>-5</v>
      </c>
      <c r="N237" s="10">
        <v>6.8</v>
      </c>
      <c r="O237" s="10">
        <v>11.1</v>
      </c>
      <c r="P237" s="10">
        <v>12.5</v>
      </c>
      <c r="Q237" s="10">
        <v>10.909590097120001</v>
      </c>
      <c r="R237" s="10">
        <v>12.591466360842119</v>
      </c>
      <c r="S237" s="10">
        <v>173660</v>
      </c>
      <c r="T237" s="10">
        <v>268.38</v>
      </c>
      <c r="U237" s="10">
        <v>4.4000000000000004</v>
      </c>
      <c r="V237" s="10">
        <v>1.25</v>
      </c>
      <c r="W237" s="10">
        <v>202.6</v>
      </c>
      <c r="X237" s="10">
        <v>581111.05999999994</v>
      </c>
      <c r="Y237" s="10">
        <v>2100183.7400000002</v>
      </c>
      <c r="Z237" s="10">
        <v>50.9</v>
      </c>
      <c r="AA237" s="10">
        <v>47.3</v>
      </c>
    </row>
    <row r="238" spans="1:27" x14ac:dyDescent="0.25">
      <c r="A238" s="13">
        <v>44012</v>
      </c>
      <c r="B238" s="10">
        <v>3.2</v>
      </c>
      <c r="C238" s="10">
        <v>86.115745000000004</v>
      </c>
      <c r="D238" s="10">
        <v>86.267785000000003</v>
      </c>
      <c r="E238" s="10">
        <v>94.961900000000014</v>
      </c>
      <c r="F238" s="10">
        <v>4.5999999999999996</v>
      </c>
      <c r="G238" s="10">
        <v>52.7</v>
      </c>
      <c r="H238" s="10">
        <v>-1.8</v>
      </c>
      <c r="I238" s="10">
        <v>2.0440999999999998</v>
      </c>
      <c r="J238" s="10">
        <v>2.5</v>
      </c>
      <c r="K238" s="10">
        <v>-3</v>
      </c>
      <c r="L238" s="10">
        <v>1.1094139999999999</v>
      </c>
      <c r="M238" s="10">
        <v>-4.4000000000000004</v>
      </c>
      <c r="N238" s="10">
        <v>6.5</v>
      </c>
      <c r="O238" s="10">
        <v>11.1</v>
      </c>
      <c r="P238" s="10">
        <v>12.8</v>
      </c>
      <c r="Q238" s="10">
        <v>10.346651266028889</v>
      </c>
      <c r="R238" s="10">
        <v>12.39542193038236</v>
      </c>
      <c r="S238" s="10">
        <v>208328</v>
      </c>
      <c r="T238" s="10">
        <v>271.77999999999997</v>
      </c>
      <c r="U238" s="10">
        <v>4.8</v>
      </c>
      <c r="V238" s="10">
        <v>1.29</v>
      </c>
      <c r="W238" s="10">
        <v>231.3</v>
      </c>
      <c r="X238" s="10">
        <v>604317.97</v>
      </c>
      <c r="Y238" s="10">
        <v>2134948.66</v>
      </c>
      <c r="Z238" s="10">
        <v>51.4</v>
      </c>
      <c r="AA238" s="10">
        <v>46.8</v>
      </c>
    </row>
    <row r="239" spans="1:27" x14ac:dyDescent="0.25">
      <c r="A239" s="13">
        <v>44043</v>
      </c>
      <c r="B239" s="10">
        <v>0</v>
      </c>
      <c r="C239" s="10">
        <v>86.716166000000001</v>
      </c>
      <c r="D239" s="10">
        <v>84.708560000000006</v>
      </c>
      <c r="E239" s="10">
        <v>97.081699999999998</v>
      </c>
      <c r="F239" s="10">
        <v>4.0999999999999996</v>
      </c>
      <c r="G239" s="10">
        <v>51.5</v>
      </c>
      <c r="H239" s="10">
        <v>-1.1000000000000001</v>
      </c>
      <c r="I239" s="10">
        <v>0</v>
      </c>
      <c r="J239" s="10">
        <v>2.7</v>
      </c>
      <c r="K239" s="10">
        <v>-2.4</v>
      </c>
      <c r="L239" s="10">
        <v>1.6539820000000001</v>
      </c>
      <c r="M239" s="10">
        <v>-3.3</v>
      </c>
      <c r="N239" s="10">
        <v>6.9</v>
      </c>
      <c r="O239" s="10">
        <v>10.7</v>
      </c>
      <c r="P239" s="10">
        <v>12.9</v>
      </c>
      <c r="Q239" s="10">
        <v>10.878768103665861</v>
      </c>
      <c r="R239" s="10">
        <v>12.403228249595699</v>
      </c>
      <c r="S239" s="10">
        <v>225256</v>
      </c>
      <c r="T239" s="10">
        <v>273.33</v>
      </c>
      <c r="U239" s="10">
        <v>4.8</v>
      </c>
      <c r="V239" s="10">
        <v>0.96</v>
      </c>
      <c r="W239" s="10">
        <v>205</v>
      </c>
      <c r="X239" s="10">
        <v>591192.64</v>
      </c>
      <c r="Y239" s="10">
        <v>2125458.46</v>
      </c>
      <c r="Z239" s="10">
        <v>51.7</v>
      </c>
      <c r="AA239" s="10">
        <v>47.6</v>
      </c>
    </row>
    <row r="240" spans="1:27" x14ac:dyDescent="0.25">
      <c r="A240" s="13">
        <v>44074</v>
      </c>
      <c r="B240" s="10">
        <v>0</v>
      </c>
      <c r="C240" s="10">
        <v>89.204239999999999</v>
      </c>
      <c r="D240" s="10">
        <v>89.222020000000001</v>
      </c>
      <c r="E240" s="10">
        <v>98.659700000000001</v>
      </c>
      <c r="F240" s="10">
        <v>4.9000000000000004</v>
      </c>
      <c r="G240" s="10">
        <v>52.3</v>
      </c>
      <c r="H240" s="10">
        <v>0.5</v>
      </c>
      <c r="I240" s="10">
        <v>0</v>
      </c>
      <c r="J240" s="10">
        <v>2.4</v>
      </c>
      <c r="K240" s="10">
        <v>-2</v>
      </c>
      <c r="L240" s="10">
        <v>1.6130610000000001</v>
      </c>
      <c r="M240" s="10">
        <v>-2.5</v>
      </c>
      <c r="N240" s="10">
        <v>8</v>
      </c>
      <c r="O240" s="10">
        <v>10.4</v>
      </c>
      <c r="P240" s="10">
        <v>13.3</v>
      </c>
      <c r="Q240" s="10">
        <v>10.71198461604186</v>
      </c>
      <c r="R240" s="10">
        <v>12.379908731935339</v>
      </c>
      <c r="S240" s="10">
        <v>261109</v>
      </c>
      <c r="T240" s="10">
        <v>276.73</v>
      </c>
      <c r="U240" s="10">
        <v>5.6</v>
      </c>
      <c r="V240" s="10">
        <v>1.01</v>
      </c>
      <c r="W240" s="10">
        <v>206.4</v>
      </c>
      <c r="X240" s="10">
        <v>601289.1</v>
      </c>
      <c r="Y240" s="10">
        <v>2136836.91</v>
      </c>
      <c r="Z240" s="10">
        <v>52</v>
      </c>
      <c r="AA240" s="10">
        <v>47.1</v>
      </c>
    </row>
    <row r="241" spans="1:27" x14ac:dyDescent="0.25">
      <c r="A241" s="13">
        <v>44104</v>
      </c>
      <c r="B241" s="10">
        <v>4.9000000000000004</v>
      </c>
      <c r="C241" s="10">
        <v>91.414174000000003</v>
      </c>
      <c r="D241" s="10">
        <v>91.785955999999999</v>
      </c>
      <c r="E241" s="10">
        <v>100.39749999999999</v>
      </c>
      <c r="F241" s="10">
        <v>4.4000000000000004</v>
      </c>
      <c r="G241" s="10">
        <v>54</v>
      </c>
      <c r="H241" s="10">
        <v>3.3</v>
      </c>
      <c r="I241" s="10">
        <v>2.7844000000000002</v>
      </c>
      <c r="J241" s="10">
        <v>1.7</v>
      </c>
      <c r="K241" s="10">
        <v>-2.1</v>
      </c>
      <c r="L241" s="10">
        <v>0.83287800000000001</v>
      </c>
      <c r="M241" s="10">
        <v>-2.2999999999999998</v>
      </c>
      <c r="N241" s="10">
        <v>8.1</v>
      </c>
      <c r="O241" s="10">
        <v>10.9</v>
      </c>
      <c r="P241" s="10">
        <v>13.5</v>
      </c>
      <c r="Q241" s="10">
        <v>11.119211748663069</v>
      </c>
      <c r="R241" s="10">
        <v>12.42521873611828</v>
      </c>
      <c r="S241" s="10">
        <v>296200</v>
      </c>
      <c r="T241" s="10">
        <v>280.05</v>
      </c>
      <c r="U241" s="10">
        <v>6.9</v>
      </c>
      <c r="V241" s="10">
        <v>1.03</v>
      </c>
      <c r="W241" s="10">
        <v>228.2</v>
      </c>
      <c r="X241" s="10">
        <v>602312.12</v>
      </c>
      <c r="Y241" s="10">
        <v>2164084.7999999998</v>
      </c>
      <c r="Z241" s="10">
        <v>52.8</v>
      </c>
      <c r="AA241" s="10">
        <v>48.4</v>
      </c>
    </row>
    <row r="242" spans="1:27" x14ac:dyDescent="0.25">
      <c r="A242" s="13">
        <v>44135</v>
      </c>
      <c r="B242" s="10">
        <v>0</v>
      </c>
      <c r="C242" s="10">
        <v>91.207002000000003</v>
      </c>
      <c r="D242" s="10">
        <v>91.106665000000007</v>
      </c>
      <c r="E242" s="10">
        <v>102.85940000000001</v>
      </c>
      <c r="F242" s="10">
        <v>7.9</v>
      </c>
      <c r="G242" s="10">
        <v>53</v>
      </c>
      <c r="H242" s="10">
        <v>4.3</v>
      </c>
      <c r="I242" s="10">
        <v>0</v>
      </c>
      <c r="J242" s="10">
        <v>0.5</v>
      </c>
      <c r="K242" s="10">
        <v>-2.1</v>
      </c>
      <c r="L242" s="10">
        <v>-0.3</v>
      </c>
      <c r="M242" s="10">
        <v>-2.4</v>
      </c>
      <c r="N242" s="10">
        <v>9.1</v>
      </c>
      <c r="O242" s="10">
        <v>10.5</v>
      </c>
      <c r="P242" s="10">
        <v>13.7</v>
      </c>
      <c r="Q242" s="10">
        <v>10.741836884663559</v>
      </c>
      <c r="R242" s="10">
        <v>12.48421260391547</v>
      </c>
      <c r="S242" s="10">
        <v>310129</v>
      </c>
      <c r="T242" s="10">
        <v>281.25</v>
      </c>
      <c r="U242" s="10">
        <v>6.9</v>
      </c>
      <c r="V242" s="10">
        <v>0.62</v>
      </c>
      <c r="W242" s="10">
        <v>218.9</v>
      </c>
      <c r="X242" s="10">
        <v>609182.40999999992</v>
      </c>
      <c r="Y242" s="10">
        <v>2149720.42</v>
      </c>
      <c r="Z242" s="10">
        <v>52.8</v>
      </c>
      <c r="AA242" s="10">
        <v>44.9</v>
      </c>
    </row>
    <row r="243" spans="1:27" x14ac:dyDescent="0.25">
      <c r="A243" s="13">
        <v>44165</v>
      </c>
      <c r="B243" s="10">
        <v>0</v>
      </c>
      <c r="C243" s="10">
        <v>93.672455999999997</v>
      </c>
      <c r="D243" s="10">
        <v>93.716350000000006</v>
      </c>
      <c r="E243" s="10">
        <v>106.2559</v>
      </c>
      <c r="F243" s="10">
        <v>8.1999999999999993</v>
      </c>
      <c r="G243" s="10">
        <v>52.8</v>
      </c>
      <c r="H243" s="10">
        <v>5</v>
      </c>
      <c r="I243" s="10">
        <v>0</v>
      </c>
      <c r="J243" s="10">
        <v>-0.5</v>
      </c>
      <c r="K243" s="10">
        <v>-1.5</v>
      </c>
      <c r="L243" s="10">
        <v>-1.1000000000000001</v>
      </c>
      <c r="M243" s="10">
        <v>-1.6</v>
      </c>
      <c r="N243" s="10">
        <v>10</v>
      </c>
      <c r="O243" s="10">
        <v>10.7</v>
      </c>
      <c r="P243" s="10">
        <v>13.6</v>
      </c>
      <c r="Q243" s="10">
        <v>11.22468851169962</v>
      </c>
      <c r="R243" s="10">
        <v>12.30135702553428</v>
      </c>
      <c r="S243" s="10">
        <v>331484</v>
      </c>
      <c r="T243" s="10">
        <v>283.25</v>
      </c>
      <c r="U243" s="10">
        <v>7</v>
      </c>
      <c r="V243" s="10">
        <v>0.56000000000000005</v>
      </c>
      <c r="W243" s="10">
        <v>232.2</v>
      </c>
      <c r="X243" s="10">
        <v>618632.16999999993</v>
      </c>
      <c r="Y243" s="10">
        <v>2172002.5499999998</v>
      </c>
      <c r="Z243" s="10">
        <v>53.9</v>
      </c>
      <c r="AA243" s="10">
        <v>45.7</v>
      </c>
    </row>
    <row r="244" spans="1:27" x14ac:dyDescent="0.25">
      <c r="A244" s="13">
        <v>44196</v>
      </c>
      <c r="B244" s="10">
        <v>6.5</v>
      </c>
      <c r="C244" s="10">
        <v>95.243831</v>
      </c>
      <c r="D244" s="10">
        <v>95.554721000000001</v>
      </c>
      <c r="E244" s="10">
        <v>110.3904</v>
      </c>
      <c r="F244" s="10">
        <v>7.4</v>
      </c>
      <c r="G244" s="10">
        <v>51.9</v>
      </c>
      <c r="H244" s="10">
        <v>4.5999999999999996</v>
      </c>
      <c r="I244" s="10">
        <v>6.9800000000000001E-2</v>
      </c>
      <c r="J244" s="10">
        <v>0.2</v>
      </c>
      <c r="K244" s="10">
        <v>-0.4</v>
      </c>
      <c r="L244" s="10">
        <v>-0.3</v>
      </c>
      <c r="M244" s="10">
        <v>0</v>
      </c>
      <c r="N244" s="10">
        <v>8.6</v>
      </c>
      <c r="O244" s="10">
        <v>10.1</v>
      </c>
      <c r="P244" s="10">
        <v>13.3</v>
      </c>
      <c r="Q244" s="10">
        <v>10.27644802787046</v>
      </c>
      <c r="R244" s="10">
        <v>11.978280741479431</v>
      </c>
      <c r="S244" s="10">
        <v>348633</v>
      </c>
      <c r="T244" s="10">
        <v>284.83</v>
      </c>
      <c r="U244" s="10">
        <v>7.3</v>
      </c>
      <c r="V244" s="10">
        <v>0.62</v>
      </c>
      <c r="W244" s="10">
        <v>252.6</v>
      </c>
      <c r="X244" s="10">
        <v>625580.98999999987</v>
      </c>
      <c r="Y244" s="10">
        <v>2186795.8899999997</v>
      </c>
      <c r="Z244" s="10">
        <v>53.6</v>
      </c>
      <c r="AA244" s="10">
        <v>46.2</v>
      </c>
    </row>
    <row r="245" spans="1:27" x14ac:dyDescent="0.25">
      <c r="A245" s="13">
        <v>44227</v>
      </c>
      <c r="B245" s="10">
        <v>0</v>
      </c>
      <c r="C245" s="10">
        <v>96.569076999999993</v>
      </c>
      <c r="D245" s="10">
        <v>96.018702000000005</v>
      </c>
      <c r="E245" s="10">
        <v>114.33089999999999</v>
      </c>
      <c r="F245" s="10">
        <v>3.3</v>
      </c>
      <c r="G245" s="10">
        <v>48.7</v>
      </c>
      <c r="H245" s="10">
        <v>0</v>
      </c>
      <c r="I245" s="10">
        <v>0</v>
      </c>
      <c r="J245" s="10">
        <v>-0.3</v>
      </c>
      <c r="K245" s="10">
        <v>0.3</v>
      </c>
      <c r="L245" s="10">
        <v>-0.5</v>
      </c>
      <c r="M245" s="10">
        <v>0.9</v>
      </c>
      <c r="N245" s="10">
        <v>14.7</v>
      </c>
      <c r="O245" s="10">
        <v>9.4</v>
      </c>
      <c r="P245" s="10">
        <v>13</v>
      </c>
      <c r="Q245" s="10">
        <v>9.9370595836249276</v>
      </c>
      <c r="R245" s="10">
        <v>11.681744409284169</v>
      </c>
      <c r="S245" s="10">
        <v>51884</v>
      </c>
      <c r="T245" s="10">
        <v>289.74</v>
      </c>
      <c r="U245" s="10">
        <v>25.398571</v>
      </c>
      <c r="V245" s="10">
        <v>0.63</v>
      </c>
      <c r="W245" s="10">
        <v>228.1</v>
      </c>
      <c r="X245" s="10">
        <v>625563.80999999994</v>
      </c>
      <c r="Y245" s="10">
        <v>2213047.33</v>
      </c>
      <c r="Z245" s="10">
        <v>52.3</v>
      </c>
      <c r="AA245" s="10">
        <v>49</v>
      </c>
    </row>
    <row r="246" spans="1:27" x14ac:dyDescent="0.25">
      <c r="A246" s="13">
        <v>44255</v>
      </c>
      <c r="B246" s="10">
        <v>0</v>
      </c>
      <c r="C246" s="10">
        <v>96.716721000000007</v>
      </c>
      <c r="D246" s="10">
        <v>96.393591000000001</v>
      </c>
      <c r="E246" s="10">
        <v>116.52160000000001</v>
      </c>
      <c r="F246" s="10">
        <v>3.5</v>
      </c>
      <c r="G246" s="10">
        <v>48.9</v>
      </c>
      <c r="H246" s="10">
        <v>33.799999999999997</v>
      </c>
      <c r="I246" s="10">
        <v>0</v>
      </c>
      <c r="J246" s="10">
        <v>-0.2</v>
      </c>
      <c r="K246" s="10">
        <v>1.7</v>
      </c>
      <c r="L246" s="10">
        <v>-0.3</v>
      </c>
      <c r="M246" s="10">
        <v>2.4</v>
      </c>
      <c r="N246" s="10">
        <v>7.4</v>
      </c>
      <c r="O246" s="10">
        <v>10.1</v>
      </c>
      <c r="P246" s="10">
        <v>13.3</v>
      </c>
      <c r="Q246" s="10">
        <v>9.9861431665274161</v>
      </c>
      <c r="R246" s="10">
        <v>11.81615700771472</v>
      </c>
      <c r="S246" s="10">
        <v>69127</v>
      </c>
      <c r="T246" s="10">
        <v>291.36</v>
      </c>
      <c r="U246" s="10">
        <v>52.339181000000004</v>
      </c>
      <c r="V246" s="10">
        <v>0.62</v>
      </c>
      <c r="W246" s="10">
        <v>156.30000000000001</v>
      </c>
      <c r="X246" s="10">
        <v>593487.46</v>
      </c>
      <c r="Y246" s="10">
        <v>2236030.2599999998</v>
      </c>
      <c r="Z246" s="10">
        <v>51.5</v>
      </c>
      <c r="AA246" s="10">
        <v>48</v>
      </c>
    </row>
    <row r="247" spans="1:27" x14ac:dyDescent="0.25">
      <c r="A247" s="13">
        <v>44286</v>
      </c>
      <c r="B247" s="10">
        <v>18.899999999999999</v>
      </c>
      <c r="C247" s="10">
        <v>97.547038999999998</v>
      </c>
      <c r="D247" s="10">
        <v>98.109491000000006</v>
      </c>
      <c r="E247" s="10">
        <v>116.0964</v>
      </c>
      <c r="F247" s="10">
        <v>6.9</v>
      </c>
      <c r="G247" s="10">
        <v>55.9</v>
      </c>
      <c r="H247" s="10">
        <v>34.200000000000003</v>
      </c>
      <c r="I247" s="10">
        <v>2.0531999999999999</v>
      </c>
      <c r="J247" s="10">
        <v>0.4</v>
      </c>
      <c r="K247" s="10">
        <v>4.4000000000000004</v>
      </c>
      <c r="L247" s="10">
        <v>0.9</v>
      </c>
      <c r="M247" s="10">
        <v>5.2</v>
      </c>
      <c r="N247" s="10">
        <v>7.1</v>
      </c>
      <c r="O247" s="10">
        <v>9.4</v>
      </c>
      <c r="P247" s="10">
        <v>12.3</v>
      </c>
      <c r="Q247" s="10">
        <v>9.2213074854435835</v>
      </c>
      <c r="R247" s="10">
        <v>11.16596411732827</v>
      </c>
      <c r="S247" s="10">
        <v>102380</v>
      </c>
      <c r="T247" s="10">
        <v>294.56</v>
      </c>
      <c r="U247" s="10">
        <v>14.1</v>
      </c>
      <c r="V247" s="10">
        <v>0.6</v>
      </c>
      <c r="W247" s="10">
        <v>235</v>
      </c>
      <c r="X247" s="10">
        <v>616113.17000000004</v>
      </c>
      <c r="Y247" s="10">
        <v>2276488.4500000002</v>
      </c>
      <c r="Z247" s="10">
        <v>53.6</v>
      </c>
      <c r="AA247" s="10">
        <v>46.7</v>
      </c>
    </row>
    <row r="248" spans="1:27" x14ac:dyDescent="0.25">
      <c r="A248" s="13">
        <v>44316</v>
      </c>
      <c r="B248" s="10">
        <v>0</v>
      </c>
      <c r="C248" s="10">
        <v>96.210232000000005</v>
      </c>
      <c r="D248" s="10">
        <v>96.976009000000005</v>
      </c>
      <c r="E248" s="10">
        <v>113.45659999999999</v>
      </c>
      <c r="F248" s="10">
        <v>5.2</v>
      </c>
      <c r="G248" s="10">
        <v>51.5</v>
      </c>
      <c r="H248" s="10">
        <v>17.7</v>
      </c>
      <c r="I248" s="10">
        <v>0</v>
      </c>
      <c r="J248" s="10">
        <v>0.9</v>
      </c>
      <c r="K248" s="10">
        <v>6.8</v>
      </c>
      <c r="L248" s="10">
        <v>1.6</v>
      </c>
      <c r="M248" s="10">
        <v>9</v>
      </c>
      <c r="N248" s="10">
        <v>6.2</v>
      </c>
      <c r="O248" s="10">
        <v>8.1</v>
      </c>
      <c r="P248" s="10">
        <v>11.7</v>
      </c>
      <c r="Q248" s="10">
        <v>7.972856519195771</v>
      </c>
      <c r="R248" s="10">
        <v>10.32668377474314</v>
      </c>
      <c r="S248" s="10">
        <v>120950</v>
      </c>
      <c r="T248" s="10">
        <v>296.14999999999998</v>
      </c>
      <c r="U248" s="10">
        <v>9.8000000000000007</v>
      </c>
      <c r="V248" s="10">
        <v>0.52</v>
      </c>
      <c r="W248" s="10">
        <v>212.8</v>
      </c>
      <c r="X248" s="10">
        <v>605421.8899999999</v>
      </c>
      <c r="Y248" s="10">
        <v>2262107.12</v>
      </c>
      <c r="Z248" s="10">
        <v>52</v>
      </c>
      <c r="AA248" s="10">
        <v>46.8</v>
      </c>
    </row>
    <row r="249" spans="1:27" x14ac:dyDescent="0.25">
      <c r="A249" s="13">
        <v>44347</v>
      </c>
      <c r="B249" s="10">
        <v>0</v>
      </c>
      <c r="C249" s="10">
        <v>99.750934999999998</v>
      </c>
      <c r="D249" s="10">
        <v>98.825254000000001</v>
      </c>
      <c r="E249" s="10">
        <v>109.69629999999999</v>
      </c>
      <c r="F249" s="10">
        <v>4.8</v>
      </c>
      <c r="G249" s="10">
        <v>52.2</v>
      </c>
      <c r="H249" s="10">
        <v>12.4</v>
      </c>
      <c r="I249" s="10">
        <v>0</v>
      </c>
      <c r="J249" s="10">
        <v>1.3</v>
      </c>
      <c r="K249" s="10">
        <v>9</v>
      </c>
      <c r="L249" s="10">
        <v>2.1</v>
      </c>
      <c r="M249" s="10">
        <v>12.5</v>
      </c>
      <c r="N249" s="10">
        <v>6.1</v>
      </c>
      <c r="O249" s="10">
        <v>8.3000000000000007</v>
      </c>
      <c r="P249" s="10">
        <v>11</v>
      </c>
      <c r="Q249" s="10">
        <v>8.0043751124443059</v>
      </c>
      <c r="R249" s="10">
        <v>9.7396842504373264</v>
      </c>
      <c r="S249" s="10">
        <v>140472</v>
      </c>
      <c r="T249" s="10">
        <v>297.98</v>
      </c>
      <c r="U249" s="10">
        <v>8.8000000000000007</v>
      </c>
      <c r="V249" s="10">
        <v>0.45</v>
      </c>
      <c r="W249" s="10">
        <v>220.4</v>
      </c>
      <c r="X249" s="10">
        <v>616828.31999999995</v>
      </c>
      <c r="Y249" s="10">
        <v>2275538.0699999998</v>
      </c>
      <c r="Z249" s="10">
        <v>51.3</v>
      </c>
      <c r="AA249" s="10">
        <v>46.5</v>
      </c>
    </row>
    <row r="250" spans="1:27" x14ac:dyDescent="0.25">
      <c r="A250" s="13">
        <v>44377</v>
      </c>
      <c r="B250" s="10">
        <v>8.1</v>
      </c>
      <c r="C250" s="10">
        <v>99.020447000000004</v>
      </c>
      <c r="D250" s="10">
        <v>99.704363999999998</v>
      </c>
      <c r="E250" s="10">
        <v>105.89300000000001</v>
      </c>
      <c r="F250" s="10">
        <v>4.4000000000000004</v>
      </c>
      <c r="G250" s="10">
        <v>49.6</v>
      </c>
      <c r="H250" s="10">
        <v>12.1</v>
      </c>
      <c r="I250" s="10">
        <v>4.8128000000000002</v>
      </c>
      <c r="J250" s="10">
        <v>1.1000000000000001</v>
      </c>
      <c r="K250" s="10">
        <v>8.8000000000000007</v>
      </c>
      <c r="L250" s="10">
        <v>2.1</v>
      </c>
      <c r="M250" s="10">
        <v>13.1</v>
      </c>
      <c r="N250" s="10">
        <v>5.5</v>
      </c>
      <c r="O250" s="10">
        <v>8.6</v>
      </c>
      <c r="P250" s="10">
        <v>11</v>
      </c>
      <c r="Q250" s="10">
        <v>8.5179335111602725</v>
      </c>
      <c r="R250" s="10">
        <v>10.151750570806101</v>
      </c>
      <c r="S250" s="10">
        <v>177357</v>
      </c>
      <c r="T250" s="10">
        <v>301.56</v>
      </c>
      <c r="U250" s="10">
        <v>8.3000000000000007</v>
      </c>
      <c r="V250" s="10">
        <v>0.48</v>
      </c>
      <c r="W250" s="10">
        <v>250.5</v>
      </c>
      <c r="X250" s="10">
        <v>637479.36</v>
      </c>
      <c r="Y250" s="10">
        <v>2317788.36</v>
      </c>
      <c r="Z250" s="10">
        <v>51.5</v>
      </c>
      <c r="AA250" s="10">
        <v>47.1</v>
      </c>
    </row>
    <row r="251" spans="1:27" x14ac:dyDescent="0.25">
      <c r="A251" s="13">
        <v>44408</v>
      </c>
      <c r="B251" s="10">
        <v>0</v>
      </c>
      <c r="C251" s="10">
        <v>99.549856000000005</v>
      </c>
      <c r="D251" s="10">
        <v>100.21096300000001</v>
      </c>
      <c r="E251" s="10">
        <v>102.72820000000002</v>
      </c>
      <c r="F251" s="10">
        <v>3.3</v>
      </c>
      <c r="G251" s="10">
        <v>49.7</v>
      </c>
      <c r="H251" s="10">
        <v>8.5</v>
      </c>
      <c r="I251" s="10">
        <v>0</v>
      </c>
      <c r="J251" s="10">
        <v>1</v>
      </c>
      <c r="K251" s="10">
        <v>9</v>
      </c>
      <c r="L251" s="10">
        <v>1.9</v>
      </c>
      <c r="M251" s="10">
        <v>13.1</v>
      </c>
      <c r="N251" s="10">
        <v>4.9000000000000004</v>
      </c>
      <c r="O251" s="10">
        <v>8.3000000000000007</v>
      </c>
      <c r="P251" s="10">
        <v>10.7</v>
      </c>
      <c r="Q251" s="10">
        <v>7.7341222938600778</v>
      </c>
      <c r="R251" s="10">
        <v>9.953799585128893</v>
      </c>
      <c r="S251" s="10">
        <v>188109</v>
      </c>
      <c r="T251" s="10">
        <v>302.47000000000003</v>
      </c>
      <c r="U251" s="10">
        <v>6.4</v>
      </c>
      <c r="V251" s="10">
        <v>0.21</v>
      </c>
      <c r="W251" s="10">
        <v>218.1</v>
      </c>
      <c r="X251" s="10">
        <v>620367.04999999993</v>
      </c>
      <c r="Y251" s="10">
        <v>2302153.8199999998</v>
      </c>
      <c r="Z251" s="10">
        <v>50.9</v>
      </c>
      <c r="AA251" s="10">
        <v>47.6</v>
      </c>
    </row>
    <row r="252" spans="1:27" x14ac:dyDescent="0.25">
      <c r="A252" s="13">
        <v>44439</v>
      </c>
      <c r="B252" s="10">
        <v>0</v>
      </c>
      <c r="C252" s="10">
        <v>98.890500000000003</v>
      </c>
      <c r="D252" s="10">
        <v>98.972322000000005</v>
      </c>
      <c r="E252" s="10">
        <v>100.43039999999999</v>
      </c>
      <c r="F252" s="10">
        <v>1.9</v>
      </c>
      <c r="G252" s="10">
        <v>42.2</v>
      </c>
      <c r="H252" s="10">
        <v>2.5</v>
      </c>
      <c r="I252" s="10">
        <v>0</v>
      </c>
      <c r="J252" s="10">
        <v>0.8</v>
      </c>
      <c r="K252" s="10">
        <v>9.5</v>
      </c>
      <c r="L252" s="10">
        <v>1.6</v>
      </c>
      <c r="M252" s="10">
        <v>13.6</v>
      </c>
      <c r="N252" s="10">
        <v>4.2</v>
      </c>
      <c r="O252" s="10">
        <v>8.1999999999999993</v>
      </c>
      <c r="P252" s="10">
        <v>10.3</v>
      </c>
      <c r="Q252" s="10">
        <v>7.2292832012926551</v>
      </c>
      <c r="R252" s="10">
        <v>9.968069332010046</v>
      </c>
      <c r="S252" s="10">
        <v>218002</v>
      </c>
      <c r="T252" s="10">
        <v>305.29000000000002</v>
      </c>
      <c r="U252" s="10">
        <v>5.3</v>
      </c>
      <c r="V252" s="10">
        <v>0.3</v>
      </c>
      <c r="W252" s="10">
        <v>217.3</v>
      </c>
      <c r="X252" s="10">
        <v>626658.69000000006</v>
      </c>
      <c r="Y252" s="10">
        <v>2312267.6800000002</v>
      </c>
      <c r="Z252" s="10">
        <v>49.6</v>
      </c>
      <c r="AA252" s="10">
        <v>47.7</v>
      </c>
    </row>
    <row r="253" spans="1:27" x14ac:dyDescent="0.25">
      <c r="A253" s="13">
        <v>44469</v>
      </c>
      <c r="B253" s="10">
        <v>5.5</v>
      </c>
      <c r="C253" s="10">
        <v>97.874857000000006</v>
      </c>
      <c r="D253" s="10">
        <v>98.247579000000002</v>
      </c>
      <c r="E253" s="10">
        <v>98.856999999999999</v>
      </c>
      <c r="F253" s="10">
        <v>2.1</v>
      </c>
      <c r="G253" s="10">
        <v>49</v>
      </c>
      <c r="H253" s="10">
        <v>4.4000000000000004</v>
      </c>
      <c r="I253" s="10">
        <v>4.2081</v>
      </c>
      <c r="J253" s="10">
        <v>0.7</v>
      </c>
      <c r="K253" s="10">
        <v>10.7</v>
      </c>
      <c r="L253" s="10">
        <v>1.8</v>
      </c>
      <c r="M253" s="10">
        <v>14.3</v>
      </c>
      <c r="N253" s="10">
        <v>3.7</v>
      </c>
      <c r="O253" s="10">
        <v>8.3000000000000007</v>
      </c>
      <c r="P253" s="10">
        <v>10</v>
      </c>
      <c r="Q253" s="10">
        <v>7.3511505332165497</v>
      </c>
      <c r="R253" s="10">
        <v>10.08461168489295</v>
      </c>
      <c r="S253" s="10">
        <v>247481</v>
      </c>
      <c r="T253" s="10">
        <v>308.05</v>
      </c>
      <c r="U253" s="10">
        <v>3.1</v>
      </c>
      <c r="V253" s="10">
        <v>0.05</v>
      </c>
      <c r="W253" s="10">
        <v>235.3</v>
      </c>
      <c r="X253" s="10">
        <v>624645.68000000005</v>
      </c>
      <c r="Y253" s="10">
        <v>2342829.6999999997</v>
      </c>
      <c r="Z253" s="10">
        <v>49.3</v>
      </c>
      <c r="AA253" s="10">
        <v>47.2</v>
      </c>
    </row>
    <row r="254" spans="1:27" x14ac:dyDescent="0.25">
      <c r="A254" s="13">
        <v>44500</v>
      </c>
      <c r="B254" s="10">
        <v>0</v>
      </c>
      <c r="C254" s="10">
        <v>99.265459000000007</v>
      </c>
      <c r="D254" s="10">
        <v>99.651364000000001</v>
      </c>
      <c r="E254" s="10">
        <v>98.045299999999997</v>
      </c>
      <c r="F254" s="10">
        <v>2.5</v>
      </c>
      <c r="G254" s="10">
        <v>49</v>
      </c>
      <c r="H254" s="10">
        <v>4.9000000000000004</v>
      </c>
      <c r="I254" s="10">
        <v>0</v>
      </c>
      <c r="J254" s="10">
        <v>1.5</v>
      </c>
      <c r="K254" s="10">
        <v>13.5</v>
      </c>
      <c r="L254" s="10">
        <v>2.9</v>
      </c>
      <c r="M254" s="10">
        <v>17.100000000000001</v>
      </c>
      <c r="N254" s="10">
        <v>2.8</v>
      </c>
      <c r="O254" s="10">
        <v>8.6999999999999993</v>
      </c>
      <c r="P254" s="10">
        <v>10</v>
      </c>
      <c r="Q254" s="10">
        <v>7.8385648034120079</v>
      </c>
      <c r="R254" s="10">
        <v>10.31375829816718</v>
      </c>
      <c r="S254" s="10">
        <v>263657</v>
      </c>
      <c r="T254" s="10">
        <v>309.45</v>
      </c>
      <c r="U254" s="10">
        <v>3.5</v>
      </c>
      <c r="V254" s="10">
        <v>0.41</v>
      </c>
      <c r="W254" s="10">
        <v>226.6</v>
      </c>
      <c r="X254" s="10">
        <v>626082.12</v>
      </c>
      <c r="Y254" s="10">
        <v>2336160.48</v>
      </c>
      <c r="Z254" s="10">
        <v>48.8</v>
      </c>
      <c r="AA254" s="10">
        <v>46.3</v>
      </c>
    </row>
    <row r="255" spans="1:27" x14ac:dyDescent="0.25">
      <c r="A255" s="13">
        <v>44530</v>
      </c>
      <c r="B255" s="10">
        <v>0</v>
      </c>
      <c r="C255" s="10">
        <v>96.972634999999997</v>
      </c>
      <c r="D255" s="10">
        <v>97.161467000000002</v>
      </c>
      <c r="E255" s="10">
        <v>97.891999999999996</v>
      </c>
      <c r="F255" s="10">
        <v>1.5</v>
      </c>
      <c r="G255" s="10">
        <v>48.9</v>
      </c>
      <c r="H255" s="10">
        <v>3.9</v>
      </c>
      <c r="I255" s="10">
        <v>0</v>
      </c>
      <c r="J255" s="10">
        <v>2.2999999999999998</v>
      </c>
      <c r="K255" s="10">
        <v>12.9</v>
      </c>
      <c r="L255" s="10">
        <v>3.4</v>
      </c>
      <c r="M255" s="10">
        <v>17.399999999999999</v>
      </c>
      <c r="N255" s="10">
        <v>3</v>
      </c>
      <c r="O255" s="10">
        <v>8.5</v>
      </c>
      <c r="P255" s="10">
        <v>10.1</v>
      </c>
      <c r="Q255" s="10">
        <v>7.1358701221245484</v>
      </c>
      <c r="R255" s="10">
        <v>10.38934046245318</v>
      </c>
      <c r="S255" s="10">
        <v>289640</v>
      </c>
      <c r="T255" s="10">
        <v>311.89999999999998</v>
      </c>
      <c r="U255" s="10">
        <v>3.8</v>
      </c>
      <c r="V255" s="10">
        <v>0.38</v>
      </c>
      <c r="W255" s="10">
        <v>241</v>
      </c>
      <c r="X255" s="10">
        <v>637482.03999999992</v>
      </c>
      <c r="Y255" s="10">
        <v>2356012.7599999998</v>
      </c>
      <c r="Z255" s="10">
        <v>49.4</v>
      </c>
      <c r="AA255" s="10">
        <v>47.9</v>
      </c>
    </row>
    <row r="256" spans="1:27" x14ac:dyDescent="0.25">
      <c r="A256" s="13">
        <v>44561</v>
      </c>
      <c r="B256" s="10">
        <v>4.5</v>
      </c>
      <c r="C256" s="10">
        <v>94.942124000000007</v>
      </c>
      <c r="D256" s="10">
        <v>95.231408000000002</v>
      </c>
      <c r="E256" s="10">
        <v>97.930499999999995</v>
      </c>
      <c r="F256" s="10">
        <v>1.2</v>
      </c>
      <c r="G256" s="10">
        <v>48.4</v>
      </c>
      <c r="H256" s="10">
        <v>1.7</v>
      </c>
      <c r="I256" s="10">
        <v>5.2205000000000004</v>
      </c>
      <c r="J256" s="10">
        <v>1.5</v>
      </c>
      <c r="K256" s="10">
        <v>10.3</v>
      </c>
      <c r="L256" s="10">
        <v>2.2000000000000002</v>
      </c>
      <c r="M256" s="10">
        <v>14.2</v>
      </c>
      <c r="N256" s="10">
        <v>3.5</v>
      </c>
      <c r="O256" s="10">
        <v>9</v>
      </c>
      <c r="P256" s="10">
        <v>10.3</v>
      </c>
      <c r="Q256" s="10">
        <v>7.5362645987214796</v>
      </c>
      <c r="R256" s="10">
        <v>10.6126413489953</v>
      </c>
      <c r="S256" s="10">
        <v>313509</v>
      </c>
      <c r="T256" s="10">
        <v>314.13</v>
      </c>
      <c r="U256" s="10">
        <v>4.3</v>
      </c>
      <c r="V256" s="10">
        <v>0.4</v>
      </c>
      <c r="W256" s="10">
        <v>265.3</v>
      </c>
      <c r="X256" s="10">
        <v>647443.35</v>
      </c>
      <c r="Y256" s="10">
        <v>2382899.56</v>
      </c>
      <c r="Z256" s="10">
        <v>49.7</v>
      </c>
      <c r="AA256" s="10">
        <v>48.5</v>
      </c>
    </row>
    <row r="257" spans="1:27" x14ac:dyDescent="0.25">
      <c r="A257" s="13">
        <v>44592</v>
      </c>
      <c r="B257" s="10">
        <v>0</v>
      </c>
      <c r="C257" s="10">
        <v>94.239571999999995</v>
      </c>
      <c r="D257" s="10">
        <v>93.123610999999997</v>
      </c>
      <c r="E257" s="10">
        <v>97.654499999999999</v>
      </c>
      <c r="F257" s="10">
        <v>1.3</v>
      </c>
      <c r="G257" s="10">
        <v>47.8</v>
      </c>
      <c r="H257" s="10">
        <v>0</v>
      </c>
      <c r="I257" s="10">
        <v>0</v>
      </c>
      <c r="J257" s="10">
        <v>0.9</v>
      </c>
      <c r="K257" s="10">
        <v>9.1</v>
      </c>
      <c r="L257" s="10">
        <v>1.5</v>
      </c>
      <c r="M257" s="10">
        <v>12.1</v>
      </c>
      <c r="N257" s="10">
        <v>-1.9</v>
      </c>
      <c r="O257" s="10">
        <v>9.8000000000000007</v>
      </c>
      <c r="P257" s="10">
        <v>10.5</v>
      </c>
      <c r="Q257" s="10">
        <v>7.928857421164988</v>
      </c>
      <c r="R257" s="10">
        <v>10.78868579393713</v>
      </c>
      <c r="S257" s="10">
        <v>61759</v>
      </c>
      <c r="T257" s="10">
        <v>320.02999999999997</v>
      </c>
      <c r="U257" s="10">
        <v>3.8579569999999999</v>
      </c>
      <c r="V257" s="10">
        <v>0.22</v>
      </c>
      <c r="W257" s="10">
        <v>236.9</v>
      </c>
      <c r="X257" s="10">
        <v>613859.35</v>
      </c>
      <c r="Y257" s="10">
        <v>2431022.7200000002</v>
      </c>
      <c r="Z257" s="10">
        <v>49.3</v>
      </c>
      <c r="AA257" s="10">
        <v>48</v>
      </c>
    </row>
    <row r="258" spans="1:27" x14ac:dyDescent="0.25">
      <c r="A258" s="13">
        <v>44620</v>
      </c>
      <c r="B258" s="10">
        <v>0</v>
      </c>
      <c r="C258" s="10">
        <v>93.910027999999997</v>
      </c>
      <c r="D258" s="10">
        <v>95.128101999999998</v>
      </c>
      <c r="E258" s="10">
        <v>96.739899999999992</v>
      </c>
      <c r="F258" s="10">
        <v>3.4</v>
      </c>
      <c r="G258" s="10">
        <v>47.6</v>
      </c>
      <c r="H258" s="10">
        <v>6.7</v>
      </c>
      <c r="I258" s="10">
        <v>0</v>
      </c>
      <c r="J258" s="10">
        <v>0.9</v>
      </c>
      <c r="K258" s="10">
        <v>8.8000000000000007</v>
      </c>
      <c r="L258" s="10">
        <v>1.9</v>
      </c>
      <c r="M258" s="10">
        <v>11.2</v>
      </c>
      <c r="N258" s="10">
        <v>4.7</v>
      </c>
      <c r="O258" s="10">
        <v>9.1999999999999993</v>
      </c>
      <c r="P258" s="10">
        <v>10.199999999999999</v>
      </c>
      <c r="Q258" s="10">
        <v>8.2813993509622854</v>
      </c>
      <c r="R258" s="10">
        <v>10.65056841971778</v>
      </c>
      <c r="S258" s="10">
        <v>73929</v>
      </c>
      <c r="T258" s="10">
        <v>321.12</v>
      </c>
      <c r="U258" s="10">
        <v>12.795904999999999</v>
      </c>
      <c r="V258" s="10">
        <v>0.38</v>
      </c>
      <c r="W258" s="10">
        <v>176.3</v>
      </c>
      <c r="X258" s="10">
        <v>621612.11</v>
      </c>
      <c r="Y258" s="10">
        <v>2441488.9</v>
      </c>
      <c r="Z258" s="10">
        <v>50.7</v>
      </c>
      <c r="AA258" s="10">
        <v>47.3</v>
      </c>
    </row>
    <row r="259" spans="1:27" x14ac:dyDescent="0.25">
      <c r="A259" s="13">
        <v>44651</v>
      </c>
      <c r="B259" s="10">
        <v>4.8</v>
      </c>
      <c r="C259" s="10">
        <v>93.693593000000007</v>
      </c>
      <c r="D259" s="10">
        <v>94.862241999999995</v>
      </c>
      <c r="E259" s="10">
        <v>96.199999999999989</v>
      </c>
      <c r="F259" s="10">
        <v>-0.1</v>
      </c>
      <c r="G259" s="10">
        <v>45.7</v>
      </c>
      <c r="H259" s="10">
        <v>-3.5254120000000002</v>
      </c>
      <c r="I259" s="10">
        <v>3.4068000000000001</v>
      </c>
      <c r="J259" s="10">
        <v>1.5</v>
      </c>
      <c r="K259" s="10">
        <v>8.3000000000000007</v>
      </c>
      <c r="L259" s="10">
        <v>2.7</v>
      </c>
      <c r="M259" s="10">
        <v>10.7</v>
      </c>
      <c r="N259" s="10">
        <v>4.7</v>
      </c>
      <c r="O259" s="10">
        <v>9.6999999999999993</v>
      </c>
      <c r="P259" s="10">
        <v>10.5</v>
      </c>
      <c r="Q259" s="10">
        <v>8.3725882724745517</v>
      </c>
      <c r="R259" s="10">
        <v>10.66145958780919</v>
      </c>
      <c r="S259" s="10">
        <v>120570</v>
      </c>
      <c r="T259" s="10">
        <v>325.63</v>
      </c>
      <c r="U259" s="10">
        <v>5</v>
      </c>
      <c r="V259" s="10">
        <v>0.51</v>
      </c>
      <c r="W259" s="10">
        <v>246.8</v>
      </c>
      <c r="X259" s="10">
        <v>645063.79999999993</v>
      </c>
      <c r="Y259" s="10">
        <v>2497688.34</v>
      </c>
      <c r="Z259" s="10">
        <v>48.8</v>
      </c>
      <c r="AA259" s="10">
        <v>48.9</v>
      </c>
    </row>
    <row r="260" spans="1:27" x14ac:dyDescent="0.25">
      <c r="A260" s="13">
        <v>44681</v>
      </c>
      <c r="B260" s="10">
        <v>0</v>
      </c>
      <c r="C260" s="10">
        <v>92.454571999999999</v>
      </c>
      <c r="D260" s="10">
        <v>91.458106999999998</v>
      </c>
      <c r="E260" s="10">
        <v>94.6</v>
      </c>
      <c r="F260" s="10">
        <v>-7.7</v>
      </c>
      <c r="G260" s="10">
        <v>37.4</v>
      </c>
      <c r="H260" s="10">
        <v>-11.1</v>
      </c>
      <c r="I260" s="10">
        <v>0</v>
      </c>
      <c r="J260" s="10">
        <v>2.1</v>
      </c>
      <c r="K260" s="10">
        <v>8</v>
      </c>
      <c r="L260" s="10">
        <v>3.4</v>
      </c>
      <c r="M260" s="10">
        <v>10.8</v>
      </c>
      <c r="N260" s="10">
        <v>5.0999999999999996</v>
      </c>
      <c r="O260" s="10">
        <v>10.5</v>
      </c>
      <c r="P260" s="10">
        <v>10.199999999999999</v>
      </c>
      <c r="Q260" s="10">
        <v>8.6636352782947448</v>
      </c>
      <c r="R260" s="10">
        <v>10.64645862758101</v>
      </c>
      <c r="S260" s="10">
        <v>129897</v>
      </c>
      <c r="T260" s="10">
        <v>326.47000000000003</v>
      </c>
      <c r="U260" s="10">
        <v>-2.9</v>
      </c>
      <c r="V260" s="10">
        <v>0.16</v>
      </c>
      <c r="W260" s="10">
        <v>206.6</v>
      </c>
      <c r="X260" s="10">
        <v>636139.01</v>
      </c>
      <c r="Y260" s="10">
        <v>2499710.9</v>
      </c>
      <c r="Z260" s="10">
        <v>42.6</v>
      </c>
      <c r="AA260" s="10">
        <v>50.3</v>
      </c>
    </row>
    <row r="261" spans="1:27" x14ac:dyDescent="0.25">
      <c r="A261" s="13">
        <v>44712</v>
      </c>
      <c r="B261" s="10">
        <v>0</v>
      </c>
      <c r="C261" s="10">
        <v>92.086703999999997</v>
      </c>
      <c r="D261" s="10">
        <v>92.132378000000003</v>
      </c>
      <c r="E261" s="10">
        <v>93.9</v>
      </c>
      <c r="F261" s="10">
        <v>-1.1000000000000001</v>
      </c>
      <c r="G261" s="10">
        <v>44.1</v>
      </c>
      <c r="H261" s="10">
        <v>-6.7</v>
      </c>
      <c r="I261" s="10">
        <v>0</v>
      </c>
      <c r="J261" s="10">
        <v>2.1</v>
      </c>
      <c r="K261" s="10">
        <v>6.4</v>
      </c>
      <c r="L261" s="10">
        <v>3.3</v>
      </c>
      <c r="M261" s="10">
        <v>9.1</v>
      </c>
      <c r="N261" s="10">
        <v>4.5999999999999996</v>
      </c>
      <c r="O261" s="10">
        <v>11.1</v>
      </c>
      <c r="P261" s="10">
        <v>10.5</v>
      </c>
      <c r="Q261" s="10">
        <v>8.7112539791017394</v>
      </c>
      <c r="R261" s="10">
        <v>10.985815801294009</v>
      </c>
      <c r="S261" s="10">
        <v>158312</v>
      </c>
      <c r="T261" s="10">
        <v>329.2</v>
      </c>
      <c r="U261" s="10">
        <v>0.7</v>
      </c>
      <c r="V261" s="10">
        <v>0.62</v>
      </c>
      <c r="W261" s="10">
        <v>221.9</v>
      </c>
      <c r="X261" s="10">
        <v>645107.5199999999</v>
      </c>
      <c r="Y261" s="10">
        <v>2527026.15</v>
      </c>
      <c r="Z261" s="10">
        <v>48.2</v>
      </c>
      <c r="AA261" s="10">
        <v>49.3</v>
      </c>
    </row>
    <row r="262" spans="1:27" x14ac:dyDescent="0.25">
      <c r="A262" s="13">
        <v>44742</v>
      </c>
      <c r="B262" s="10">
        <v>0.8</v>
      </c>
      <c r="C262" s="10">
        <v>92.901218999999998</v>
      </c>
      <c r="D262" s="10">
        <v>92.138310000000004</v>
      </c>
      <c r="E262" s="10">
        <v>94.5</v>
      </c>
      <c r="F262" s="10">
        <v>1.8</v>
      </c>
      <c r="G262" s="10">
        <v>53.2</v>
      </c>
      <c r="H262" s="10">
        <v>3.1</v>
      </c>
      <c r="I262" s="10">
        <v>2.9845000000000002</v>
      </c>
      <c r="J262" s="10">
        <v>2.5</v>
      </c>
      <c r="K262" s="10">
        <v>6.1</v>
      </c>
      <c r="L262" s="10">
        <v>3.7</v>
      </c>
      <c r="M262" s="10">
        <v>8.5</v>
      </c>
      <c r="N262" s="10">
        <v>5.8</v>
      </c>
      <c r="O262" s="10">
        <v>11.4</v>
      </c>
      <c r="P262" s="10">
        <v>10.8</v>
      </c>
      <c r="Q262" s="10">
        <v>9.2238308250779539</v>
      </c>
      <c r="R262" s="10">
        <v>11.412160411330589</v>
      </c>
      <c r="S262" s="10">
        <v>210037</v>
      </c>
      <c r="T262" s="10">
        <v>334.28</v>
      </c>
      <c r="U262" s="10">
        <v>3.9</v>
      </c>
      <c r="V262" s="10">
        <v>0.91</v>
      </c>
      <c r="W262" s="10">
        <v>260.3</v>
      </c>
      <c r="X262" s="10">
        <v>674374.81</v>
      </c>
      <c r="Y262" s="10">
        <v>2581451.2000000002</v>
      </c>
      <c r="Z262" s="10">
        <v>50.4</v>
      </c>
      <c r="AA262" s="10">
        <v>48.6</v>
      </c>
    </row>
    <row r="263" spans="1:27" x14ac:dyDescent="0.25">
      <c r="A263" s="13">
        <v>44773</v>
      </c>
      <c r="B263" s="10">
        <v>0</v>
      </c>
      <c r="C263" s="10">
        <v>92.150605999999996</v>
      </c>
      <c r="D263" s="10">
        <v>90.748523000000006</v>
      </c>
      <c r="E263" s="10">
        <v>95.800000000000011</v>
      </c>
      <c r="F263" s="10">
        <v>0.5</v>
      </c>
      <c r="G263" s="10">
        <v>49.7</v>
      </c>
      <c r="H263" s="10">
        <v>2.7</v>
      </c>
      <c r="I263" s="10">
        <v>0</v>
      </c>
      <c r="J263" s="10">
        <v>2.7</v>
      </c>
      <c r="K263" s="10">
        <v>4.2</v>
      </c>
      <c r="L263" s="10">
        <v>3.5</v>
      </c>
      <c r="M263" s="10">
        <v>6.5</v>
      </c>
      <c r="N263" s="10">
        <v>6.7</v>
      </c>
      <c r="O263" s="10">
        <v>12</v>
      </c>
      <c r="P263" s="10">
        <v>10.7</v>
      </c>
      <c r="Q263" s="10">
        <v>9.6566241569809463</v>
      </c>
      <c r="R263" s="10">
        <v>11.269494561717449</v>
      </c>
      <c r="S263" s="10">
        <v>217822</v>
      </c>
      <c r="T263" s="10">
        <v>334.9</v>
      </c>
      <c r="U263" s="10">
        <v>3.8</v>
      </c>
      <c r="V263" s="10">
        <v>0.35</v>
      </c>
      <c r="W263" s="10">
        <v>226.4</v>
      </c>
      <c r="X263" s="10">
        <v>661832.32999999996</v>
      </c>
      <c r="Y263" s="10">
        <v>2578078.5699999998</v>
      </c>
      <c r="Z263" s="10">
        <v>48.5</v>
      </c>
      <c r="AA263" s="10">
        <v>48</v>
      </c>
    </row>
    <row r="264" spans="1:27" x14ac:dyDescent="0.25">
      <c r="A264" s="13">
        <v>44804</v>
      </c>
      <c r="B264" s="10">
        <v>0</v>
      </c>
      <c r="C264" s="10">
        <v>92.125375000000005</v>
      </c>
      <c r="D264" s="10">
        <v>90.818950000000001</v>
      </c>
      <c r="E264" s="10">
        <v>96.600000000000009</v>
      </c>
      <c r="F264" s="10">
        <v>4</v>
      </c>
      <c r="G264" s="10">
        <v>49.8</v>
      </c>
      <c r="H264" s="10">
        <v>5.4</v>
      </c>
      <c r="I264" s="10">
        <v>0</v>
      </c>
      <c r="J264" s="10">
        <v>2.5</v>
      </c>
      <c r="K264" s="10">
        <v>2.2999999999999998</v>
      </c>
      <c r="L264" s="10">
        <v>3.1</v>
      </c>
      <c r="M264" s="10">
        <v>4.2</v>
      </c>
      <c r="N264" s="10">
        <v>6.1</v>
      </c>
      <c r="O264" s="10">
        <v>12.2</v>
      </c>
      <c r="P264" s="10">
        <v>10.5</v>
      </c>
      <c r="Q264" s="10">
        <v>9.5203443429738233</v>
      </c>
      <c r="R264" s="10">
        <v>10.898078096430851</v>
      </c>
      <c r="S264" s="10">
        <v>242534</v>
      </c>
      <c r="T264" s="10">
        <v>337.22</v>
      </c>
      <c r="U264" s="10">
        <v>4.2</v>
      </c>
      <c r="V264" s="10">
        <v>0.24</v>
      </c>
      <c r="W264" s="10">
        <v>226.4</v>
      </c>
      <c r="X264" s="10">
        <v>664604.85</v>
      </c>
      <c r="Y264" s="10">
        <v>2595068.27</v>
      </c>
      <c r="Z264" s="10">
        <v>49.2</v>
      </c>
      <c r="AA264" s="10">
        <v>45.2</v>
      </c>
    </row>
    <row r="265" spans="1:27" x14ac:dyDescent="0.25">
      <c r="A265" s="13">
        <v>44834</v>
      </c>
      <c r="B265" s="10">
        <v>4</v>
      </c>
      <c r="C265" s="10">
        <v>88.865149000000002</v>
      </c>
      <c r="D265" s="10">
        <v>89.199057999999994</v>
      </c>
      <c r="E265" s="10">
        <v>96.300000000000011</v>
      </c>
      <c r="F265" s="10">
        <v>2.5</v>
      </c>
      <c r="G265" s="10">
        <v>43.1</v>
      </c>
      <c r="H265" s="10">
        <v>2.5</v>
      </c>
      <c r="I265" s="10">
        <v>1.7583</v>
      </c>
      <c r="J265" s="10">
        <v>2.8</v>
      </c>
      <c r="K265" s="10">
        <v>0.9</v>
      </c>
      <c r="L265" s="10">
        <v>3.2</v>
      </c>
      <c r="M265" s="10">
        <v>2.6</v>
      </c>
      <c r="N265" s="10">
        <v>6.4</v>
      </c>
      <c r="O265" s="10">
        <v>12.1</v>
      </c>
      <c r="P265" s="10">
        <v>10.6</v>
      </c>
      <c r="Q265" s="10">
        <v>9.9686277047796583</v>
      </c>
      <c r="R265" s="10">
        <v>11.12862929941749</v>
      </c>
      <c r="S265" s="10">
        <v>277730</v>
      </c>
      <c r="T265" s="10">
        <v>340.65</v>
      </c>
      <c r="U265" s="10">
        <v>6.3</v>
      </c>
      <c r="V265" s="10">
        <v>0.8</v>
      </c>
      <c r="W265" s="10">
        <v>250.1</v>
      </c>
      <c r="X265" s="10">
        <v>664535.17000000004</v>
      </c>
      <c r="Y265" s="10">
        <v>2626600.92</v>
      </c>
      <c r="Z265" s="10">
        <v>49.8</v>
      </c>
      <c r="AA265" s="10">
        <v>47.3</v>
      </c>
    </row>
    <row r="266" spans="1:27" x14ac:dyDescent="0.25">
      <c r="A266" s="13">
        <v>44865</v>
      </c>
      <c r="B266" s="10">
        <v>0</v>
      </c>
      <c r="C266" s="10">
        <v>87.908062000000001</v>
      </c>
      <c r="D266" s="10">
        <v>87.203749000000002</v>
      </c>
      <c r="E266" s="10">
        <v>95.2</v>
      </c>
      <c r="F266" s="10">
        <v>0.1</v>
      </c>
      <c r="G266" s="10">
        <v>42.8</v>
      </c>
      <c r="H266" s="10">
        <v>-0.5</v>
      </c>
      <c r="I266" s="10">
        <v>0</v>
      </c>
      <c r="J266" s="10">
        <v>2.1</v>
      </c>
      <c r="K266" s="10">
        <v>-1.3</v>
      </c>
      <c r="L266" s="10">
        <v>2.2999999999999998</v>
      </c>
      <c r="M266" s="10">
        <v>0.3</v>
      </c>
      <c r="N266" s="10">
        <v>5.8</v>
      </c>
      <c r="O266" s="10">
        <v>11.8</v>
      </c>
      <c r="P266" s="10">
        <v>10.3</v>
      </c>
      <c r="Q266" s="10">
        <v>9.4506499320465558</v>
      </c>
      <c r="R266" s="10">
        <v>10.959287921917831</v>
      </c>
      <c r="S266" s="10">
        <v>286864</v>
      </c>
      <c r="T266" s="10">
        <v>341.42</v>
      </c>
      <c r="U266" s="10">
        <v>5</v>
      </c>
      <c r="V266" s="10">
        <v>0.18</v>
      </c>
      <c r="W266" s="10">
        <v>237.9</v>
      </c>
      <c r="X266" s="10">
        <v>662140.99</v>
      </c>
      <c r="Y266" s="10">
        <v>2612914.5699999998</v>
      </c>
      <c r="Z266" s="10">
        <v>48.1</v>
      </c>
      <c r="AA266" s="10">
        <v>48</v>
      </c>
    </row>
    <row r="267" spans="1:27" x14ac:dyDescent="0.25">
      <c r="A267" s="13">
        <v>44895</v>
      </c>
      <c r="B267" s="10">
        <v>0</v>
      </c>
      <c r="C267" s="10">
        <v>86.912632000000002</v>
      </c>
      <c r="D267" s="10">
        <v>85.946310999999994</v>
      </c>
      <c r="E267" s="10">
        <v>94</v>
      </c>
      <c r="F267" s="10">
        <v>-1.7</v>
      </c>
      <c r="G267" s="10">
        <v>42.3</v>
      </c>
      <c r="H267" s="10">
        <v>-5.9</v>
      </c>
      <c r="I267" s="10">
        <v>0</v>
      </c>
      <c r="J267" s="10">
        <v>1.6</v>
      </c>
      <c r="K267" s="10">
        <v>-1.3</v>
      </c>
      <c r="L267" s="10">
        <v>1.8</v>
      </c>
      <c r="M267" s="10">
        <v>-0.6</v>
      </c>
      <c r="N267" s="10">
        <v>4.5999999999999996</v>
      </c>
      <c r="O267" s="10">
        <v>12.4</v>
      </c>
      <c r="P267" s="10">
        <v>10</v>
      </c>
      <c r="Q267" s="10">
        <v>9.6064862063177419</v>
      </c>
      <c r="R267" s="10">
        <v>10.939060845715661</v>
      </c>
      <c r="S267" s="10">
        <v>306701</v>
      </c>
      <c r="T267" s="10">
        <v>343.19</v>
      </c>
      <c r="U267" s="10">
        <v>2.2000000000000002</v>
      </c>
      <c r="V267" s="10">
        <v>-0.24</v>
      </c>
      <c r="W267" s="10">
        <v>246.3</v>
      </c>
      <c r="X267" s="10">
        <v>667042.61</v>
      </c>
      <c r="Y267" s="10">
        <v>2647008.48</v>
      </c>
      <c r="Z267" s="10">
        <v>46.4</v>
      </c>
      <c r="AA267" s="10">
        <v>48.1</v>
      </c>
    </row>
    <row r="268" spans="1:27" x14ac:dyDescent="0.25">
      <c r="A268" s="13">
        <v>44926</v>
      </c>
      <c r="B268" s="10">
        <v>3</v>
      </c>
      <c r="C268" s="10">
        <v>85.760750000000002</v>
      </c>
      <c r="D268" s="10">
        <v>86.741005000000001</v>
      </c>
      <c r="E268" s="10">
        <v>95.304900000000004</v>
      </c>
      <c r="F268" s="10">
        <v>-2.7</v>
      </c>
      <c r="G268" s="10">
        <v>39.1</v>
      </c>
      <c r="H268" s="10">
        <v>-1.8</v>
      </c>
      <c r="I268" s="10">
        <v>0.55989999999999995</v>
      </c>
      <c r="J268" s="10">
        <v>1.8</v>
      </c>
      <c r="K268" s="10">
        <v>-0.7</v>
      </c>
      <c r="L268" s="10">
        <v>2</v>
      </c>
      <c r="M268" s="10">
        <v>0.3</v>
      </c>
      <c r="N268" s="10">
        <v>3.7</v>
      </c>
      <c r="O268" s="10">
        <v>11.8</v>
      </c>
      <c r="P268" s="10">
        <v>9.6</v>
      </c>
      <c r="Q268" s="10">
        <v>9.7918408017329206</v>
      </c>
      <c r="R268" s="10">
        <v>10.68740156653101</v>
      </c>
      <c r="S268" s="10">
        <v>320096</v>
      </c>
      <c r="T268" s="10">
        <v>344.21</v>
      </c>
      <c r="U268" s="10">
        <v>1.3</v>
      </c>
      <c r="V268" s="10">
        <v>0.37</v>
      </c>
      <c r="W268" s="10">
        <v>266.89999999999998</v>
      </c>
      <c r="X268" s="10">
        <v>671674.76</v>
      </c>
      <c r="Y268" s="10">
        <v>2664320.84</v>
      </c>
      <c r="Z268" s="10">
        <v>43.9</v>
      </c>
      <c r="AA268" s="10">
        <v>46.6</v>
      </c>
    </row>
    <row r="269" spans="1:27" x14ac:dyDescent="0.25">
      <c r="A269" s="13">
        <v>44957</v>
      </c>
      <c r="B269" s="10">
        <v>0</v>
      </c>
      <c r="C269" s="10">
        <v>87.024125999999995</v>
      </c>
      <c r="D269" s="10">
        <v>85.848637999999994</v>
      </c>
      <c r="E269" s="10">
        <v>95.555199999999999</v>
      </c>
      <c r="F269" s="10">
        <v>3.7</v>
      </c>
      <c r="G269" s="10">
        <v>52.5</v>
      </c>
      <c r="H269" s="10">
        <v>0</v>
      </c>
      <c r="I269" s="10">
        <v>0</v>
      </c>
      <c r="J269" s="10">
        <v>2.1</v>
      </c>
      <c r="K269" s="10">
        <v>-0.8</v>
      </c>
      <c r="L269" s="10">
        <v>0</v>
      </c>
      <c r="M269" s="10">
        <v>0.1</v>
      </c>
      <c r="N269" s="10">
        <v>6.7</v>
      </c>
      <c r="O269" s="10">
        <v>12.6</v>
      </c>
      <c r="P269" s="10">
        <v>9.4</v>
      </c>
      <c r="Q269" s="10">
        <v>10.15961226658419</v>
      </c>
      <c r="R269" s="10">
        <v>11.256200436469729</v>
      </c>
      <c r="S269" s="10">
        <v>59956</v>
      </c>
      <c r="T269" s="10">
        <v>350.93</v>
      </c>
      <c r="U269" s="10">
        <v>-9.7931620000000006</v>
      </c>
      <c r="V269" s="10">
        <v>0.64</v>
      </c>
      <c r="W269" s="10">
        <v>213.7</v>
      </c>
      <c r="X269" s="10">
        <v>655214.16</v>
      </c>
      <c r="Y269" s="10">
        <v>2738072.06</v>
      </c>
      <c r="Z269" s="10">
        <v>50.9</v>
      </c>
      <c r="AA269" s="10">
        <v>47.2</v>
      </c>
    </row>
    <row r="270" spans="1:27" x14ac:dyDescent="0.25">
      <c r="A270" s="13">
        <v>44985</v>
      </c>
      <c r="B270" s="10">
        <v>0</v>
      </c>
      <c r="C270" s="10">
        <v>86.518002999999993</v>
      </c>
      <c r="D270" s="10">
        <v>86.507283000000001</v>
      </c>
      <c r="E270" s="10">
        <v>96.519199999999998</v>
      </c>
      <c r="F270" s="10">
        <v>3.5</v>
      </c>
      <c r="G270" s="10">
        <v>55.8</v>
      </c>
      <c r="H270" s="10">
        <v>3.5</v>
      </c>
      <c r="I270" s="10">
        <v>0</v>
      </c>
      <c r="J270" s="10">
        <v>1</v>
      </c>
      <c r="K270" s="10">
        <v>-1.4</v>
      </c>
      <c r="L270" s="10">
        <v>0</v>
      </c>
      <c r="M270" s="10">
        <v>-0.5</v>
      </c>
      <c r="N270" s="10">
        <v>5.8</v>
      </c>
      <c r="O270" s="10">
        <v>12.9</v>
      </c>
      <c r="P270" s="10">
        <v>9.9</v>
      </c>
      <c r="Q270" s="10">
        <v>10.300657573266159</v>
      </c>
      <c r="R270" s="10">
        <v>11.648108207455341</v>
      </c>
      <c r="S270" s="10">
        <v>91566</v>
      </c>
      <c r="T270" s="10">
        <v>353.97</v>
      </c>
      <c r="U270" s="10">
        <v>18.774816000000001</v>
      </c>
      <c r="V270" s="10">
        <v>0.41</v>
      </c>
      <c r="W270" s="10">
        <v>209.4</v>
      </c>
      <c r="X270" s="10">
        <v>657938.73999999987</v>
      </c>
      <c r="Y270" s="10">
        <v>2755249.23</v>
      </c>
      <c r="Z270" s="10">
        <v>54.1</v>
      </c>
      <c r="AA270" s="10">
        <v>50.6</v>
      </c>
    </row>
    <row r="271" spans="1:27" x14ac:dyDescent="0.25">
      <c r="A271" s="13">
        <v>45016</v>
      </c>
      <c r="B271" s="10">
        <v>4.7</v>
      </c>
      <c r="C271" s="10">
        <v>86.414205999999993</v>
      </c>
      <c r="D271" s="10">
        <v>86.442757</v>
      </c>
      <c r="E271" s="10">
        <v>97.605699999999999</v>
      </c>
      <c r="F271" s="10">
        <v>4.0999999999999996</v>
      </c>
      <c r="G271" s="10">
        <v>57.3</v>
      </c>
      <c r="H271" s="10">
        <v>10.6</v>
      </c>
      <c r="I271" s="10">
        <v>0.9425</v>
      </c>
      <c r="J271" s="10">
        <v>0.7</v>
      </c>
      <c r="K271" s="10">
        <v>-2.5</v>
      </c>
      <c r="L271" s="10">
        <v>0</v>
      </c>
      <c r="M271" s="10">
        <v>-1.8</v>
      </c>
      <c r="N271" s="10">
        <v>5.0999999999999996</v>
      </c>
      <c r="O271" s="10">
        <v>12.7</v>
      </c>
      <c r="P271" s="10">
        <v>10</v>
      </c>
      <c r="Q271" s="10">
        <v>10.696703593931449</v>
      </c>
      <c r="R271" s="10">
        <v>11.80797956568604</v>
      </c>
      <c r="S271" s="10">
        <v>145295</v>
      </c>
      <c r="T271" s="10">
        <v>359.02</v>
      </c>
      <c r="U271" s="10">
        <v>3.9</v>
      </c>
      <c r="V271" s="10">
        <v>0.64</v>
      </c>
      <c r="W271" s="10">
        <v>256.39999999999998</v>
      </c>
      <c r="X271" s="10">
        <v>678059.63</v>
      </c>
      <c r="Y271" s="10">
        <v>2814566.31</v>
      </c>
      <c r="Z271" s="10">
        <v>53.6</v>
      </c>
      <c r="AA271" s="10">
        <v>49.5</v>
      </c>
    </row>
    <row r="272" spans="1:27" x14ac:dyDescent="0.25">
      <c r="A272" s="13">
        <v>45046</v>
      </c>
      <c r="B272" s="10">
        <v>0</v>
      </c>
      <c r="C272" s="10">
        <v>86.098911999999999</v>
      </c>
      <c r="D272" s="10">
        <v>85.691609999999997</v>
      </c>
      <c r="E272" s="10">
        <v>98.179400000000001</v>
      </c>
      <c r="F272" s="10">
        <v>-0.6</v>
      </c>
      <c r="G272" s="10">
        <v>56</v>
      </c>
      <c r="H272" s="10">
        <v>18.399999999999999</v>
      </c>
      <c r="I272" s="10">
        <v>0</v>
      </c>
      <c r="J272" s="10">
        <v>0.1</v>
      </c>
      <c r="K272" s="10">
        <v>-3.6</v>
      </c>
      <c r="L272" s="10">
        <v>0</v>
      </c>
      <c r="M272" s="10">
        <v>-3.8</v>
      </c>
      <c r="N272" s="10">
        <v>5.3</v>
      </c>
      <c r="O272" s="10">
        <v>12.4</v>
      </c>
      <c r="P272" s="10">
        <v>10</v>
      </c>
      <c r="Q272" s="10">
        <v>10.50670824534097</v>
      </c>
      <c r="R272" s="10">
        <v>11.66880831805805</v>
      </c>
      <c r="S272" s="10">
        <v>157544</v>
      </c>
      <c r="T272" s="10">
        <v>359.95</v>
      </c>
      <c r="U272" s="10">
        <v>5.6</v>
      </c>
      <c r="V272" s="10">
        <v>-0.32</v>
      </c>
      <c r="W272" s="10">
        <v>218.2</v>
      </c>
      <c r="X272" s="10">
        <v>669761.54999999993</v>
      </c>
      <c r="Y272" s="10">
        <v>2808469.34</v>
      </c>
      <c r="Z272" s="10">
        <v>48.8</v>
      </c>
      <c r="AA272" s="10">
        <v>49.4</v>
      </c>
    </row>
    <row r="273" spans="1:27" x14ac:dyDescent="0.25">
      <c r="A273" s="13">
        <v>45077</v>
      </c>
      <c r="B273" s="10">
        <v>0</v>
      </c>
      <c r="C273" s="10">
        <v>86.342888000000002</v>
      </c>
      <c r="D273" s="10">
        <v>86.190779000000006</v>
      </c>
      <c r="E273" s="10">
        <v>98.035200000000003</v>
      </c>
      <c r="F273" s="10">
        <v>-0.6</v>
      </c>
      <c r="G273" s="10">
        <v>49.5</v>
      </c>
      <c r="H273" s="10">
        <v>12.7</v>
      </c>
      <c r="I273" s="10">
        <v>0</v>
      </c>
      <c r="J273" s="10">
        <v>0.2</v>
      </c>
      <c r="K273" s="10">
        <v>-4.5999999999999996</v>
      </c>
      <c r="L273" s="10">
        <v>0</v>
      </c>
      <c r="M273" s="10">
        <v>-5.3</v>
      </c>
      <c r="N273" s="10">
        <v>4.7</v>
      </c>
      <c r="O273" s="10">
        <v>11.6</v>
      </c>
      <c r="P273" s="10">
        <v>9.5</v>
      </c>
      <c r="Q273" s="10">
        <v>10.16316851105489</v>
      </c>
      <c r="R273" s="10">
        <v>11.25151262647576</v>
      </c>
      <c r="S273" s="10">
        <v>173104</v>
      </c>
      <c r="T273" s="10">
        <v>361.42</v>
      </c>
      <c r="U273" s="10">
        <v>3.5</v>
      </c>
      <c r="V273" s="10">
        <v>0.77</v>
      </c>
      <c r="W273" s="10">
        <v>229.7</v>
      </c>
      <c r="X273" s="10">
        <v>675252.98</v>
      </c>
      <c r="Y273" s="10">
        <v>2820504.68</v>
      </c>
      <c r="Z273" s="10">
        <v>48.3</v>
      </c>
      <c r="AA273" s="10">
        <v>48.9</v>
      </c>
    </row>
    <row r="274" spans="1:27" x14ac:dyDescent="0.25">
      <c r="A274" s="13">
        <v>45107</v>
      </c>
      <c r="B274" s="10">
        <v>6.5</v>
      </c>
      <c r="C274" s="10">
        <v>86.230357999999995</v>
      </c>
      <c r="D274" s="10">
        <v>84.364097000000001</v>
      </c>
      <c r="E274" s="10">
        <v>98.300000000000011</v>
      </c>
      <c r="F274" s="10">
        <v>2.5</v>
      </c>
      <c r="G274" s="10">
        <v>49.5</v>
      </c>
      <c r="H274" s="10">
        <v>3.1</v>
      </c>
      <c r="I274" s="10">
        <v>-0.91710000000000003</v>
      </c>
      <c r="J274" s="10">
        <v>0</v>
      </c>
      <c r="K274" s="10">
        <v>-5.4</v>
      </c>
      <c r="L274" s="10">
        <v>0</v>
      </c>
      <c r="M274" s="10">
        <v>-6.5</v>
      </c>
      <c r="N274" s="10">
        <v>3.1</v>
      </c>
      <c r="O274" s="10">
        <v>11.3</v>
      </c>
      <c r="P274" s="10">
        <v>9</v>
      </c>
      <c r="Q274" s="10">
        <v>10.22352410162619</v>
      </c>
      <c r="R274" s="10">
        <v>10.833736132945759</v>
      </c>
      <c r="S274" s="10">
        <v>215488</v>
      </c>
      <c r="T274" s="10">
        <v>365.45</v>
      </c>
      <c r="U274" s="10">
        <v>4.4000000000000004</v>
      </c>
      <c r="V274" s="10">
        <v>0.78</v>
      </c>
      <c r="W274" s="10">
        <v>271.8</v>
      </c>
      <c r="X274" s="10">
        <v>695595.48</v>
      </c>
      <c r="Y274" s="10">
        <v>2873023.83</v>
      </c>
      <c r="Z274" s="10">
        <v>48.6</v>
      </c>
      <c r="AA274" s="10">
        <v>46.1</v>
      </c>
    </row>
    <row r="275" spans="1:27" x14ac:dyDescent="0.25">
      <c r="A275" s="13">
        <v>45138</v>
      </c>
      <c r="B275" s="10">
        <v>0</v>
      </c>
      <c r="C275" s="10">
        <v>85.891810000000007</v>
      </c>
      <c r="D275" s="10">
        <v>85.610939999999999</v>
      </c>
      <c r="E275" s="10">
        <v>98.1</v>
      </c>
      <c r="F275" s="10">
        <v>3.2</v>
      </c>
      <c r="G275" s="10">
        <v>48.1</v>
      </c>
      <c r="H275" s="10">
        <v>2.5</v>
      </c>
      <c r="I275" s="10">
        <v>0</v>
      </c>
      <c r="J275" s="10">
        <v>-0.3</v>
      </c>
      <c r="K275" s="10">
        <v>-4.4000000000000004</v>
      </c>
      <c r="L275" s="10">
        <v>0</v>
      </c>
      <c r="M275" s="10">
        <v>-6.1</v>
      </c>
      <c r="N275" s="10">
        <v>2.2999999999999998</v>
      </c>
      <c r="O275" s="10">
        <v>10.7</v>
      </c>
      <c r="P275" s="10">
        <v>8.9</v>
      </c>
      <c r="Q275" s="10">
        <v>9.8663727787179116</v>
      </c>
      <c r="R275" s="10">
        <v>10.73326359393154</v>
      </c>
      <c r="S275" s="10">
        <v>220854</v>
      </c>
      <c r="T275" s="10">
        <v>365.77</v>
      </c>
      <c r="U275" s="10">
        <v>3.7</v>
      </c>
      <c r="V275" s="10">
        <v>0.13</v>
      </c>
      <c r="W275" s="10">
        <v>234.8</v>
      </c>
      <c r="X275" s="10">
        <v>677218.91999999993</v>
      </c>
      <c r="Y275" s="10">
        <v>2854031.56</v>
      </c>
      <c r="Z275" s="10">
        <v>49.5</v>
      </c>
      <c r="AA275" s="10">
        <v>46.3</v>
      </c>
    </row>
    <row r="276" spans="1:27" x14ac:dyDescent="0.25">
      <c r="A276" s="13">
        <v>45169</v>
      </c>
      <c r="B276" s="10">
        <v>0</v>
      </c>
      <c r="C276" s="10">
        <v>85.610015000000004</v>
      </c>
      <c r="D276" s="10">
        <v>87.366632999999993</v>
      </c>
      <c r="E276" s="10">
        <v>98.899999999999991</v>
      </c>
      <c r="F276" s="10">
        <v>3</v>
      </c>
      <c r="G276" s="10">
        <v>47.5</v>
      </c>
      <c r="H276" s="10">
        <v>4.5999999999999996</v>
      </c>
      <c r="I276" s="10">
        <v>0</v>
      </c>
      <c r="J276" s="10">
        <v>0.1</v>
      </c>
      <c r="K276" s="10">
        <v>-3</v>
      </c>
      <c r="L276" s="10">
        <v>0</v>
      </c>
      <c r="M276" s="10">
        <v>-4.5999999999999996</v>
      </c>
      <c r="N276" s="10">
        <v>2.2000000000000002</v>
      </c>
      <c r="O276" s="10">
        <v>10.6</v>
      </c>
      <c r="P276" s="10">
        <v>9</v>
      </c>
      <c r="Q276" s="10">
        <v>9.7377639269248437</v>
      </c>
      <c r="R276" s="10">
        <v>10.890314381189819</v>
      </c>
      <c r="S276" s="10">
        <v>252133</v>
      </c>
      <c r="T276" s="10">
        <v>368.61</v>
      </c>
      <c r="U276" s="10">
        <v>4.5</v>
      </c>
      <c r="V276" s="10">
        <v>0.57999999999999996</v>
      </c>
      <c r="W276" s="10">
        <v>236.6</v>
      </c>
      <c r="X276" s="10">
        <v>679588.35</v>
      </c>
      <c r="Y276" s="10">
        <v>2869343.25</v>
      </c>
      <c r="Z276" s="10">
        <v>50.2</v>
      </c>
      <c r="AA276" s="10">
        <v>47.2</v>
      </c>
    </row>
    <row r="277" spans="1:27" x14ac:dyDescent="0.25">
      <c r="A277" s="13">
        <v>45199</v>
      </c>
      <c r="B277" s="10">
        <v>5</v>
      </c>
      <c r="C277" s="10">
        <v>88.608902</v>
      </c>
      <c r="D277" s="10">
        <v>87.657747000000001</v>
      </c>
      <c r="E277" s="10">
        <v>99.2</v>
      </c>
      <c r="F277" s="10">
        <v>3.8</v>
      </c>
      <c r="G277" s="10">
        <v>47.8</v>
      </c>
      <c r="H277" s="10">
        <v>5.5</v>
      </c>
      <c r="I277" s="10">
        <v>-0.83940000000000003</v>
      </c>
      <c r="J277" s="10">
        <v>0</v>
      </c>
      <c r="K277" s="10">
        <v>-2.5</v>
      </c>
      <c r="L277" s="10">
        <v>0</v>
      </c>
      <c r="M277" s="10">
        <v>-3.6</v>
      </c>
      <c r="N277" s="10">
        <v>2.1</v>
      </c>
      <c r="O277" s="10">
        <v>10.3</v>
      </c>
      <c r="P277" s="10">
        <v>9</v>
      </c>
      <c r="Q277" s="10">
        <v>9.2154639060363746</v>
      </c>
      <c r="R277" s="10">
        <v>10.619518193944289</v>
      </c>
      <c r="S277" s="10">
        <v>293298</v>
      </c>
      <c r="T277" s="10">
        <v>372.5</v>
      </c>
      <c r="U277" s="10">
        <v>4.5</v>
      </c>
      <c r="V277" s="10">
        <v>0.36</v>
      </c>
      <c r="W277" s="10">
        <v>261.39999999999998</v>
      </c>
      <c r="X277" s="10">
        <v>678443.65</v>
      </c>
      <c r="Y277" s="10">
        <v>2896659.11</v>
      </c>
      <c r="Z277" s="10">
        <v>50.5</v>
      </c>
      <c r="AA277" s="10">
        <v>46.7</v>
      </c>
    </row>
    <row r="278" spans="1:27" x14ac:dyDescent="0.25">
      <c r="A278" s="13">
        <v>45230</v>
      </c>
      <c r="B278" s="10">
        <v>0</v>
      </c>
      <c r="C278" s="10">
        <v>88.84554</v>
      </c>
      <c r="D278" s="10">
        <v>89.444978000000006</v>
      </c>
      <c r="E278" s="10">
        <v>99.3</v>
      </c>
      <c r="F278" s="10">
        <v>1</v>
      </c>
      <c r="G278" s="10">
        <v>46.7</v>
      </c>
      <c r="H278" s="10">
        <v>7.6</v>
      </c>
      <c r="I278" s="10">
        <v>0</v>
      </c>
      <c r="J278" s="10">
        <v>-0.2</v>
      </c>
      <c r="K278" s="10">
        <v>-2.6</v>
      </c>
      <c r="L278" s="10">
        <v>0</v>
      </c>
      <c r="M278" s="10">
        <v>-3.7</v>
      </c>
      <c r="N278" s="10">
        <v>1.9</v>
      </c>
      <c r="O278" s="10">
        <v>10.3</v>
      </c>
      <c r="P278" s="10">
        <v>9.3000000000000007</v>
      </c>
      <c r="Q278" s="10">
        <v>9.3532432359188959</v>
      </c>
      <c r="R278" s="10">
        <v>10.70576556343647</v>
      </c>
      <c r="S278" s="10">
        <v>311739</v>
      </c>
      <c r="T278" s="10">
        <v>374.17</v>
      </c>
      <c r="U278" s="10">
        <v>4.5999999999999996</v>
      </c>
      <c r="V278" s="10">
        <v>0.48</v>
      </c>
      <c r="W278" s="10">
        <v>248.8</v>
      </c>
      <c r="X278" s="10">
        <v>674696.07</v>
      </c>
      <c r="Y278" s="10">
        <v>2882276.07</v>
      </c>
      <c r="Z278" s="10">
        <v>49.5</v>
      </c>
      <c r="AA278" s="10">
        <v>48.5</v>
      </c>
    </row>
    <row r="279" spans="1:27" x14ac:dyDescent="0.25">
      <c r="A279" s="13">
        <v>45260</v>
      </c>
      <c r="B279" s="10">
        <v>0</v>
      </c>
      <c r="C279" s="10">
        <v>89.287571999999997</v>
      </c>
      <c r="D279" s="10">
        <v>90.870695999999995</v>
      </c>
      <c r="E279" s="10">
        <v>100.1</v>
      </c>
      <c r="F279" s="10">
        <v>1.2</v>
      </c>
      <c r="G279" s="10">
        <v>47.2</v>
      </c>
      <c r="H279" s="10">
        <v>10.1</v>
      </c>
      <c r="I279" s="10">
        <v>0</v>
      </c>
      <c r="J279" s="10">
        <v>-0.5</v>
      </c>
      <c r="K279" s="10">
        <v>-3</v>
      </c>
      <c r="L279" s="10">
        <v>0</v>
      </c>
      <c r="M279" s="10">
        <v>-4</v>
      </c>
      <c r="N279" s="10">
        <v>1.3</v>
      </c>
      <c r="O279" s="10">
        <v>10</v>
      </c>
      <c r="P279" s="10">
        <v>9.4</v>
      </c>
      <c r="Q279" s="10">
        <v>9.6800861280485293</v>
      </c>
      <c r="R279" s="10">
        <v>10.582632955378511</v>
      </c>
      <c r="S279" s="10">
        <v>336293</v>
      </c>
      <c r="T279" s="10">
        <v>376.39</v>
      </c>
      <c r="U279" s="10">
        <v>6.6</v>
      </c>
      <c r="V279" s="10">
        <v>0.79</v>
      </c>
      <c r="W279" s="10">
        <v>262.60000000000002</v>
      </c>
      <c r="X279" s="10">
        <v>675903.41</v>
      </c>
      <c r="Y279" s="10">
        <v>2912014.22</v>
      </c>
      <c r="Z279" s="10">
        <v>49.4</v>
      </c>
      <c r="AA279" s="10">
        <v>48.2</v>
      </c>
    </row>
    <row r="280" spans="1:27" x14ac:dyDescent="0.25">
      <c r="A280" s="13">
        <v>45291</v>
      </c>
      <c r="B280" s="10">
        <v>5.3</v>
      </c>
      <c r="C280" s="10">
        <v>90.039536999999996</v>
      </c>
      <c r="D280" s="10">
        <v>90.141789000000003</v>
      </c>
      <c r="E280" s="10">
        <v>99.5</v>
      </c>
      <c r="F280" s="10">
        <v>0.9</v>
      </c>
      <c r="G280" s="10">
        <v>47.5</v>
      </c>
      <c r="H280" s="10">
        <v>7.4</v>
      </c>
      <c r="I280" s="10">
        <v>-1.4349000000000001</v>
      </c>
      <c r="J280" s="10">
        <v>-0.3</v>
      </c>
      <c r="K280" s="10">
        <v>-2.7</v>
      </c>
      <c r="L280" s="10">
        <v>0</v>
      </c>
      <c r="M280" s="10">
        <v>-3.8</v>
      </c>
      <c r="N280" s="10">
        <v>1.3</v>
      </c>
      <c r="O280" s="10">
        <v>9.6999999999999993</v>
      </c>
      <c r="P280" s="10">
        <v>9.5</v>
      </c>
      <c r="Q280" s="10">
        <v>9.7303774982025182</v>
      </c>
      <c r="R280" s="10">
        <v>10.692196322235059</v>
      </c>
      <c r="S280" s="10">
        <v>355875</v>
      </c>
      <c r="T280" s="10">
        <v>378.09</v>
      </c>
      <c r="U280" s="10">
        <v>6.8</v>
      </c>
      <c r="V280" s="10">
        <v>0.44</v>
      </c>
      <c r="W280" s="10">
        <v>285</v>
      </c>
      <c r="X280" s="10">
        <v>680542.52</v>
      </c>
      <c r="Y280" s="10">
        <v>2922713.33</v>
      </c>
      <c r="Z280" s="10">
        <v>48.7</v>
      </c>
      <c r="AA280" s="10">
        <v>47.8</v>
      </c>
    </row>
    <row r="281" spans="1:27" x14ac:dyDescent="0.25">
      <c r="A281" s="13">
        <v>45322</v>
      </c>
      <c r="B281" s="10">
        <v>0</v>
      </c>
      <c r="C281" s="10">
        <v>90.712063999999998</v>
      </c>
      <c r="D281" s="10">
        <v>91.719997000000006</v>
      </c>
      <c r="E281" s="10">
        <v>99.399999999999991</v>
      </c>
      <c r="F281" s="10">
        <v>-0.4</v>
      </c>
      <c r="G281" s="10">
        <v>47.6</v>
      </c>
      <c r="H281" s="10">
        <v>0</v>
      </c>
      <c r="I281" s="10">
        <v>0</v>
      </c>
      <c r="J281" s="10">
        <v>-0.8</v>
      </c>
      <c r="K281" s="10">
        <v>-2.5</v>
      </c>
      <c r="L281" s="10">
        <v>0</v>
      </c>
      <c r="M281" s="10">
        <v>-3.4</v>
      </c>
      <c r="N281" s="10">
        <v>3.3</v>
      </c>
      <c r="O281" s="10">
        <v>8.6999999999999993</v>
      </c>
      <c r="P281" s="10">
        <v>9.5</v>
      </c>
      <c r="Q281" s="10">
        <v>9.7576628373986392</v>
      </c>
      <c r="R281" s="10">
        <v>9.718674749357838</v>
      </c>
      <c r="S281" s="10">
        <v>64734</v>
      </c>
      <c r="T281" s="10">
        <v>384.32</v>
      </c>
      <c r="U281" s="10">
        <v>26.3</v>
      </c>
      <c r="V281" s="10">
        <v>0.92</v>
      </c>
      <c r="W281" s="10">
        <v>269.89999999999998</v>
      </c>
      <c r="X281" s="10">
        <v>1120120</v>
      </c>
      <c r="Y281" s="10">
        <v>2976250.2</v>
      </c>
      <c r="Z281" s="10">
        <v>49</v>
      </c>
      <c r="AA281" s="10">
        <v>49.4</v>
      </c>
    </row>
    <row r="282" spans="1:27" x14ac:dyDescent="0.25">
      <c r="A282" s="13">
        <v>45351</v>
      </c>
      <c r="B282" s="10">
        <v>0</v>
      </c>
      <c r="C282" s="10">
        <v>91.752806000000007</v>
      </c>
      <c r="D282" s="10">
        <v>89.858279999999993</v>
      </c>
      <c r="E282" s="10">
        <v>99.100000000000009</v>
      </c>
      <c r="F282" s="10">
        <v>1.1000000000000001</v>
      </c>
      <c r="G282" s="10">
        <v>46.8</v>
      </c>
      <c r="H282" s="10">
        <v>5.5</v>
      </c>
      <c r="I282" s="10">
        <v>0</v>
      </c>
      <c r="J282" s="10">
        <v>0.7</v>
      </c>
      <c r="K282" s="10">
        <v>-2.7</v>
      </c>
      <c r="L282" s="10">
        <v>0</v>
      </c>
      <c r="M282" s="10">
        <v>-3.4</v>
      </c>
      <c r="N282" s="10">
        <v>2.6</v>
      </c>
      <c r="O282" s="10">
        <v>8.6999999999999993</v>
      </c>
      <c r="P282" s="10">
        <v>9</v>
      </c>
      <c r="Q282" s="10">
        <v>8.6846649268594263</v>
      </c>
      <c r="R282" s="10">
        <v>9.3392266791192551</v>
      </c>
      <c r="S282" s="10">
        <v>80600</v>
      </c>
      <c r="T282" s="10">
        <v>385.71</v>
      </c>
      <c r="U282" s="10">
        <v>-12.7</v>
      </c>
      <c r="V282" s="10">
        <v>0.21</v>
      </c>
      <c r="W282" s="10">
        <v>182.8</v>
      </c>
      <c r="X282" s="10">
        <v>1093158</v>
      </c>
      <c r="Y282" s="10">
        <v>2995572.97</v>
      </c>
      <c r="Z282" s="10">
        <v>49</v>
      </c>
      <c r="AA282" s="10">
        <v>47.9</v>
      </c>
    </row>
    <row r="283" spans="1:27" x14ac:dyDescent="0.25">
      <c r="A283" s="13">
        <v>45382</v>
      </c>
      <c r="B283" s="10">
        <v>5.3</v>
      </c>
      <c r="C283" s="10">
        <v>88.030197000000001</v>
      </c>
      <c r="D283" s="10">
        <v>87.523895999999993</v>
      </c>
      <c r="E283" s="10">
        <v>98.4</v>
      </c>
      <c r="F283" s="10">
        <v>4.0999999999999996</v>
      </c>
      <c r="G283" s="10">
        <v>47.4</v>
      </c>
      <c r="H283" s="10">
        <v>3.1</v>
      </c>
      <c r="I283" s="10">
        <v>-1.2672000000000001</v>
      </c>
      <c r="J283" s="10">
        <v>0.1</v>
      </c>
      <c r="K283" s="10">
        <v>-2.8</v>
      </c>
      <c r="L283" s="10">
        <v>0</v>
      </c>
      <c r="M283" s="10">
        <v>-3.5</v>
      </c>
      <c r="N283" s="10">
        <v>2.2999999999999998</v>
      </c>
      <c r="O283" s="10">
        <v>8.3000000000000007</v>
      </c>
      <c r="P283" s="10">
        <v>8.6999999999999993</v>
      </c>
      <c r="Q283" s="10">
        <v>8.1016686887489833</v>
      </c>
      <c r="R283" s="10">
        <v>9.1165211940810558</v>
      </c>
      <c r="S283" s="10">
        <v>129288</v>
      </c>
      <c r="T283" s="10">
        <v>390.32</v>
      </c>
      <c r="U283" s="10">
        <v>4.5</v>
      </c>
      <c r="V283" s="10">
        <v>-0.05</v>
      </c>
      <c r="W283" s="10">
        <v>267.89999999999998</v>
      </c>
      <c r="X283" s="10">
        <v>1117433</v>
      </c>
      <c r="Y283" s="10">
        <v>3047952.16</v>
      </c>
      <c r="Z283" s="10">
        <v>53</v>
      </c>
      <c r="AA283" s="10">
        <v>48.9</v>
      </c>
    </row>
    <row r="284" spans="1:27" x14ac:dyDescent="0.25">
      <c r="A284" s="13">
        <v>45412</v>
      </c>
      <c r="B284" s="10">
        <v>0</v>
      </c>
      <c r="C284" s="10">
        <v>88.856403</v>
      </c>
      <c r="D284" s="10">
        <v>89.997067000000001</v>
      </c>
      <c r="E284" s="10">
        <v>98.899999999999991</v>
      </c>
      <c r="F284" s="10">
        <v>3.8</v>
      </c>
      <c r="G284" s="10">
        <v>46.3</v>
      </c>
      <c r="H284" s="10">
        <v>2.2999999999999998</v>
      </c>
      <c r="I284" s="10">
        <v>0</v>
      </c>
      <c r="J284" s="10">
        <v>0.3</v>
      </c>
      <c r="K284" s="10">
        <v>-2.5</v>
      </c>
      <c r="L284" s="10">
        <v>0</v>
      </c>
      <c r="M284" s="10">
        <v>-3</v>
      </c>
      <c r="N284" s="10">
        <v>0.6</v>
      </c>
      <c r="O284" s="10">
        <v>7.2</v>
      </c>
      <c r="P284" s="10">
        <v>8.3000000000000007</v>
      </c>
      <c r="Q284" s="10">
        <v>7.4509236686749638</v>
      </c>
      <c r="R284" s="10">
        <v>8.9273628146126551</v>
      </c>
      <c r="S284" s="10">
        <v>127300</v>
      </c>
      <c r="T284" s="10">
        <v>389.93</v>
      </c>
      <c r="U284" s="10">
        <v>6.7</v>
      </c>
      <c r="V284" s="10">
        <v>1.21</v>
      </c>
      <c r="W284" s="10">
        <v>232.8</v>
      </c>
      <c r="X284" s="10">
        <v>1075084</v>
      </c>
      <c r="Y284" s="10">
        <v>3011941.98</v>
      </c>
      <c r="Z284" s="10">
        <v>51.1</v>
      </c>
      <c r="AA284" s="10">
        <v>47.3</v>
      </c>
    </row>
    <row r="285" spans="1:27" x14ac:dyDescent="0.25">
      <c r="A285" s="13">
        <v>45443</v>
      </c>
      <c r="B285" s="10">
        <v>0</v>
      </c>
      <c r="C285" s="10">
        <v>89.236886999999996</v>
      </c>
      <c r="D285" s="10">
        <v>90.540643000000003</v>
      </c>
      <c r="E285" s="10">
        <v>98.899999999999991</v>
      </c>
      <c r="F285" s="10">
        <v>3.1</v>
      </c>
      <c r="G285" s="10">
        <v>46.9</v>
      </c>
      <c r="H285" s="10">
        <v>3.7</v>
      </c>
      <c r="I285" s="10">
        <v>0</v>
      </c>
      <c r="J285" s="10">
        <v>0.3</v>
      </c>
      <c r="K285" s="10">
        <v>-1.4</v>
      </c>
      <c r="L285" s="10">
        <v>0</v>
      </c>
      <c r="M285" s="10">
        <v>-1.7</v>
      </c>
      <c r="N285" s="10">
        <v>-0.8</v>
      </c>
      <c r="O285" s="10">
        <v>7</v>
      </c>
      <c r="P285" s="10">
        <v>8.4</v>
      </c>
      <c r="Q285" s="10">
        <v>7.4650572716940502</v>
      </c>
      <c r="R285" s="10">
        <v>8.9160143916369829</v>
      </c>
      <c r="S285" s="10">
        <v>148000</v>
      </c>
      <c r="T285" s="10">
        <v>391.93</v>
      </c>
      <c r="U285" s="10">
        <v>5.6</v>
      </c>
      <c r="V285" s="10">
        <v>0.25</v>
      </c>
      <c r="W285" s="10">
        <v>242.6</v>
      </c>
      <c r="X285" s="10">
        <v>1064390.9999999998</v>
      </c>
      <c r="Y285" s="10">
        <v>3018506.73</v>
      </c>
      <c r="Z285" s="10">
        <v>49.6</v>
      </c>
      <c r="AA285" s="10">
        <v>46.5</v>
      </c>
    </row>
    <row r="286" spans="1:27" x14ac:dyDescent="0.25">
      <c r="A286" s="13">
        <v>45473</v>
      </c>
      <c r="B286" s="10">
        <v>4.7</v>
      </c>
      <c r="C286" s="10">
        <v>88.524428</v>
      </c>
      <c r="D286" s="10">
        <v>88.963274999999996</v>
      </c>
      <c r="E286" s="10">
        <v>98.5</v>
      </c>
      <c r="F286" s="10">
        <v>1.2</v>
      </c>
      <c r="G286" s="10">
        <v>46.7</v>
      </c>
      <c r="H286" s="10">
        <v>2</v>
      </c>
      <c r="I286" s="10">
        <v>-0.61350000000000005</v>
      </c>
      <c r="J286" s="10">
        <v>0.2</v>
      </c>
      <c r="K286" s="10">
        <v>-0.8</v>
      </c>
      <c r="L286" s="10">
        <v>0</v>
      </c>
      <c r="M286" s="10">
        <v>-0.5</v>
      </c>
      <c r="N286" s="10">
        <v>-1.7</v>
      </c>
      <c r="O286" s="10">
        <v>6.2</v>
      </c>
      <c r="P286" s="10">
        <v>8.1</v>
      </c>
      <c r="Q286" s="10">
        <v>6.5175687352126657</v>
      </c>
      <c r="R286" s="10">
        <v>8.5031640465132927</v>
      </c>
      <c r="S286" s="10">
        <v>180991</v>
      </c>
      <c r="T286" s="10">
        <v>395.1</v>
      </c>
      <c r="U286" s="10">
        <v>5.3</v>
      </c>
      <c r="V286" s="10">
        <v>0.73</v>
      </c>
      <c r="W286" s="10">
        <v>286.2</v>
      </c>
      <c r="X286" s="10">
        <v>1089170</v>
      </c>
      <c r="Y286" s="10">
        <v>3050161.54</v>
      </c>
      <c r="Z286" s="10">
        <v>49.5</v>
      </c>
      <c r="AA286" s="10">
        <v>48.3</v>
      </c>
    </row>
    <row r="287" spans="1:27" x14ac:dyDescent="0.25">
      <c r="A287" s="13">
        <v>45504</v>
      </c>
      <c r="B287" s="10">
        <v>0</v>
      </c>
      <c r="C287" s="10">
        <v>90.292058999999995</v>
      </c>
      <c r="D287" s="10">
        <v>90.300832999999997</v>
      </c>
      <c r="E287" s="10">
        <v>98.7</v>
      </c>
      <c r="F287" s="10">
        <v>1.5</v>
      </c>
      <c r="G287" s="10">
        <v>45.7</v>
      </c>
      <c r="H287" s="10">
        <v>2.7</v>
      </c>
      <c r="I287" s="10">
        <v>0</v>
      </c>
      <c r="J287" s="10">
        <v>0.5</v>
      </c>
      <c r="K287" s="10">
        <v>-0.8</v>
      </c>
      <c r="L287" s="10">
        <v>0</v>
      </c>
      <c r="M287" s="10">
        <v>-0.1</v>
      </c>
      <c r="N287" s="10">
        <v>-2.6</v>
      </c>
      <c r="O287" s="10">
        <v>6.3</v>
      </c>
      <c r="P287" s="10">
        <v>8.1999999999999993</v>
      </c>
      <c r="Q287" s="10">
        <v>6.8935660945933632</v>
      </c>
      <c r="R287" s="10">
        <v>8.3523077131247838</v>
      </c>
      <c r="S287" s="10">
        <v>188700</v>
      </c>
      <c r="T287" s="10">
        <v>395.72</v>
      </c>
      <c r="U287" s="10">
        <v>5.0999999999999996</v>
      </c>
      <c r="V287" s="10">
        <v>0.4</v>
      </c>
      <c r="W287" s="10">
        <v>246.8</v>
      </c>
      <c r="X287" s="10">
        <v>1051800</v>
      </c>
      <c r="Y287" s="10">
        <v>3033060.78</v>
      </c>
      <c r="Z287" s="10">
        <v>49.3</v>
      </c>
      <c r="AA287" s="10">
        <v>47.8</v>
      </c>
    </row>
    <row r="288" spans="1:27" x14ac:dyDescent="0.25">
      <c r="A288" s="13">
        <v>45535</v>
      </c>
      <c r="B288" s="10">
        <v>0</v>
      </c>
      <c r="C288" s="10">
        <v>90.001329999999996</v>
      </c>
      <c r="D288" s="10">
        <v>89.458234000000004</v>
      </c>
      <c r="E288" s="10">
        <v>98.1</v>
      </c>
      <c r="F288" s="10">
        <v>0.4</v>
      </c>
      <c r="G288" s="10">
        <v>46.3</v>
      </c>
      <c r="H288" s="10">
        <v>2.1</v>
      </c>
      <c r="I288" s="10">
        <v>0</v>
      </c>
      <c r="J288" s="10">
        <v>0.6</v>
      </c>
      <c r="K288" s="10">
        <v>-1.8</v>
      </c>
      <c r="L288" s="10">
        <v>0</v>
      </c>
      <c r="M288" s="10">
        <v>-0.8</v>
      </c>
      <c r="N288" s="10">
        <v>-3</v>
      </c>
      <c r="O288" s="10">
        <v>6.3</v>
      </c>
      <c r="P288" s="10">
        <v>8.1</v>
      </c>
      <c r="Q288" s="10">
        <v>7.188805003747742</v>
      </c>
      <c r="R288" s="10">
        <v>8.4128925402203443</v>
      </c>
      <c r="S288" s="10">
        <v>219000</v>
      </c>
      <c r="T288" s="10">
        <v>398.56</v>
      </c>
      <c r="U288" s="10">
        <v>4.5</v>
      </c>
      <c r="V288" s="10">
        <v>0.39</v>
      </c>
      <c r="W288" s="10">
        <v>247.2</v>
      </c>
      <c r="X288" s="10">
        <v>1049684</v>
      </c>
      <c r="Y288" s="10">
        <v>3050461.27</v>
      </c>
      <c r="Z288" s="10">
        <v>48.9</v>
      </c>
      <c r="AA288" s="10">
        <v>48.5</v>
      </c>
    </row>
    <row r="289" spans="1:27" x14ac:dyDescent="0.25">
      <c r="A289" s="13">
        <v>45565</v>
      </c>
      <c r="B289" s="10">
        <v>4.5999999999999996</v>
      </c>
      <c r="C289" s="10">
        <v>89.404426999999998</v>
      </c>
      <c r="D289" s="10">
        <v>89.081057999999999</v>
      </c>
      <c r="E289" s="10">
        <v>98.1</v>
      </c>
      <c r="F289" s="10">
        <v>1.5</v>
      </c>
      <c r="G289" s="10">
        <v>44.2</v>
      </c>
      <c r="H289" s="10">
        <v>3.2</v>
      </c>
      <c r="I289" s="10">
        <v>-0.53339999999999999</v>
      </c>
      <c r="J289" s="10">
        <v>0.4</v>
      </c>
      <c r="K289" s="10">
        <v>-2.8</v>
      </c>
      <c r="L289" s="10">
        <v>0</v>
      </c>
      <c r="M289" s="10">
        <v>-2.2000000000000002</v>
      </c>
      <c r="N289" s="10">
        <v>-3.3</v>
      </c>
      <c r="O289" s="10">
        <v>6.8</v>
      </c>
      <c r="P289" s="10">
        <v>8</v>
      </c>
      <c r="Q289" s="10">
        <v>7.2153542966780977</v>
      </c>
      <c r="R289" s="10">
        <v>8.2856193299428735</v>
      </c>
      <c r="S289" s="10">
        <v>256643</v>
      </c>
      <c r="T289" s="10">
        <v>402.19</v>
      </c>
      <c r="U289" s="10">
        <v>5.4</v>
      </c>
      <c r="V289" s="10">
        <v>0.86</v>
      </c>
      <c r="W289" s="10">
        <v>275.5</v>
      </c>
      <c r="X289" s="10">
        <v>1055410</v>
      </c>
      <c r="Y289" s="10">
        <v>3094798.2399999998</v>
      </c>
      <c r="Z289" s="10">
        <v>49.9</v>
      </c>
      <c r="AA289" s="10">
        <v>48.4</v>
      </c>
    </row>
    <row r="290" spans="1:27" x14ac:dyDescent="0.25">
      <c r="A290" s="13">
        <v>45596</v>
      </c>
      <c r="B290" s="10">
        <v>0</v>
      </c>
      <c r="C290" s="10">
        <v>90.927431999999996</v>
      </c>
      <c r="D290" s="10">
        <v>90.011398999999997</v>
      </c>
      <c r="E290" s="10">
        <v>98.899999999999991</v>
      </c>
      <c r="F290" s="10">
        <v>3.1</v>
      </c>
      <c r="G290" s="10">
        <v>47.2</v>
      </c>
      <c r="H290" s="10">
        <v>4.8</v>
      </c>
      <c r="I290" s="10">
        <v>0</v>
      </c>
      <c r="J290" s="10">
        <v>0.3</v>
      </c>
      <c r="K290" s="10">
        <v>-2.9</v>
      </c>
      <c r="L290" s="10">
        <v>0</v>
      </c>
      <c r="M290" s="10">
        <v>-2.7</v>
      </c>
      <c r="N290" s="10">
        <v>-2.2999999999999998</v>
      </c>
      <c r="O290" s="10">
        <v>7.5</v>
      </c>
      <c r="P290" s="10">
        <v>7.8</v>
      </c>
      <c r="Q290" s="10">
        <v>7.3689362986874256</v>
      </c>
      <c r="R290" s="10">
        <v>8.2383941382684238</v>
      </c>
      <c r="S290" s="10">
        <v>270763</v>
      </c>
      <c r="T290" s="10">
        <v>403.45</v>
      </c>
      <c r="U290" s="10">
        <v>5.3</v>
      </c>
      <c r="V290" s="10">
        <v>0.52</v>
      </c>
      <c r="W290" s="10">
        <v>262</v>
      </c>
      <c r="X290" s="10">
        <v>1054884</v>
      </c>
      <c r="Y290" s="10">
        <v>3097092.01</v>
      </c>
      <c r="Z290" s="10">
        <v>50</v>
      </c>
      <c r="AA290" s="10">
        <v>46.9</v>
      </c>
    </row>
    <row r="291" spans="1:27" x14ac:dyDescent="0.25">
      <c r="A291" s="13">
        <v>45626</v>
      </c>
      <c r="B291" s="10">
        <v>0</v>
      </c>
      <c r="C291" s="10">
        <v>89.891952000000003</v>
      </c>
      <c r="D291" s="10">
        <v>89.401563999999993</v>
      </c>
      <c r="E291" s="10">
        <v>98.8</v>
      </c>
      <c r="F291" s="10">
        <v>3.4</v>
      </c>
      <c r="G291" s="10">
        <v>45.9</v>
      </c>
      <c r="H291" s="10">
        <v>3</v>
      </c>
      <c r="I291" s="10">
        <v>0</v>
      </c>
      <c r="J291" s="10">
        <v>0.2</v>
      </c>
      <c r="K291" s="10">
        <v>-2.5</v>
      </c>
      <c r="L291" s="10">
        <v>0</v>
      </c>
      <c r="M291" s="10">
        <v>-2.5</v>
      </c>
      <c r="N291" s="10">
        <v>-0.7</v>
      </c>
      <c r="O291" s="10">
        <v>7.1</v>
      </c>
      <c r="P291" s="10">
        <v>7.8</v>
      </c>
      <c r="Q291" s="10">
        <v>7.0004092621542364</v>
      </c>
      <c r="R291" s="10">
        <v>8.2645439299810093</v>
      </c>
      <c r="S291" s="10">
        <v>294051</v>
      </c>
      <c r="T291" s="10">
        <v>405.6</v>
      </c>
      <c r="U291" s="10">
        <v>5.4</v>
      </c>
      <c r="V291" s="10">
        <v>0.57999999999999996</v>
      </c>
      <c r="W291" s="10">
        <v>276.8</v>
      </c>
      <c r="X291" s="10">
        <v>1076379</v>
      </c>
      <c r="Y291" s="10">
        <v>3119587.2699999996</v>
      </c>
      <c r="Z291" s="10">
        <v>50.8</v>
      </c>
      <c r="AA291" s="10">
        <v>47.4</v>
      </c>
    </row>
    <row r="292" spans="1:27" x14ac:dyDescent="0.25">
      <c r="A292" s="13">
        <v>45657</v>
      </c>
      <c r="B292" s="10">
        <v>5.4</v>
      </c>
      <c r="C292" s="10">
        <v>90.529942000000005</v>
      </c>
      <c r="D292" s="10">
        <v>89.742857999999998</v>
      </c>
      <c r="E292" s="10">
        <v>0</v>
      </c>
      <c r="F292" s="10">
        <v>3.1</v>
      </c>
      <c r="G292" s="10">
        <v>48.7</v>
      </c>
      <c r="H292" s="10">
        <v>3.7</v>
      </c>
      <c r="I292" s="10">
        <v>1.9227000000000001</v>
      </c>
      <c r="J292" s="10">
        <v>0.1</v>
      </c>
      <c r="K292" s="10">
        <v>-2.2999999999999998</v>
      </c>
      <c r="L292" s="10">
        <v>0</v>
      </c>
      <c r="M292" s="10">
        <v>-2.2999999999999998</v>
      </c>
      <c r="N292" s="10">
        <v>1.2</v>
      </c>
      <c r="O292" s="10">
        <v>7.3</v>
      </c>
      <c r="P292" s="10">
        <v>8</v>
      </c>
      <c r="Q292" s="10">
        <v>6.2898588432454643</v>
      </c>
      <c r="R292" s="10">
        <v>8.4742775232011667</v>
      </c>
      <c r="S292" s="10">
        <v>322559</v>
      </c>
      <c r="T292" s="10">
        <v>408.34</v>
      </c>
      <c r="U292" s="10">
        <v>6.2</v>
      </c>
      <c r="V292" s="10">
        <v>0.64</v>
      </c>
      <c r="W292" s="10">
        <v>302.7</v>
      </c>
      <c r="X292" s="10">
        <v>1113069</v>
      </c>
      <c r="Y292" s="10">
        <v>3135322.3</v>
      </c>
      <c r="Z292" s="10">
        <v>51</v>
      </c>
      <c r="AA292" s="10">
        <v>47.9</v>
      </c>
    </row>
    <row r="293" spans="1:27" x14ac:dyDescent="0.25">
      <c r="A293" s="13">
        <v>45688</v>
      </c>
      <c r="B293" s="10">
        <v>0</v>
      </c>
      <c r="C293" s="10">
        <v>87.204949999999997</v>
      </c>
      <c r="D293" s="10">
        <v>87.528707999999995</v>
      </c>
      <c r="E293" s="10">
        <v>0</v>
      </c>
      <c r="F293" s="10">
        <v>2.7</v>
      </c>
      <c r="G293" s="10">
        <v>46.4</v>
      </c>
      <c r="H293" s="10">
        <v>0</v>
      </c>
      <c r="I293" s="10">
        <v>0</v>
      </c>
      <c r="J293" s="10">
        <v>0.5</v>
      </c>
      <c r="K293" s="10">
        <v>-2.2999999999999998</v>
      </c>
      <c r="L293" s="10">
        <v>0</v>
      </c>
      <c r="M293" s="10">
        <v>-2.2999999999999998</v>
      </c>
      <c r="N293" s="10">
        <v>0.4</v>
      </c>
      <c r="O293" s="10">
        <v>7</v>
      </c>
      <c r="P293" s="10">
        <v>8</v>
      </c>
      <c r="Q293" s="10">
        <v>5.8309888166037984</v>
      </c>
      <c r="R293" s="10">
        <v>8.5270480074675561</v>
      </c>
      <c r="S293" s="10">
        <v>70546</v>
      </c>
      <c r="T293" s="10">
        <v>415.19</v>
      </c>
      <c r="U293" s="10">
        <v>-11.11</v>
      </c>
      <c r="V293" s="10">
        <v>0.19</v>
      </c>
      <c r="W293" s="10">
        <v>239.91</v>
      </c>
      <c r="X293" s="10">
        <v>1124457.45</v>
      </c>
      <c r="Y293" s="10">
        <v>3185247.18</v>
      </c>
      <c r="Z293" s="10">
        <v>49.2</v>
      </c>
      <c r="AA293" s="10">
        <v>46.5</v>
      </c>
    </row>
    <row r="294" spans="1:27" x14ac:dyDescent="0.25">
      <c r="A294" s="13">
        <v>45716</v>
      </c>
      <c r="B294" s="10">
        <v>0</v>
      </c>
      <c r="C294" s="10">
        <v>87.220862999999994</v>
      </c>
      <c r="D294" s="10">
        <v>87.542390999999995</v>
      </c>
      <c r="E294" s="10">
        <v>0</v>
      </c>
      <c r="F294" s="10">
        <v>2.8</v>
      </c>
      <c r="G294" s="10">
        <v>46.1</v>
      </c>
      <c r="H294" s="10">
        <v>4</v>
      </c>
      <c r="I294" s="10">
        <v>0</v>
      </c>
      <c r="J294" s="10">
        <v>-0.7</v>
      </c>
      <c r="K294" s="10">
        <v>-2.2000000000000002</v>
      </c>
      <c r="L294" s="10">
        <v>0</v>
      </c>
      <c r="M294" s="10">
        <v>-2.2999999999999998</v>
      </c>
      <c r="N294" s="10">
        <v>0.1</v>
      </c>
      <c r="O294" s="10">
        <v>7</v>
      </c>
      <c r="P294" s="10">
        <v>8.1999999999999993</v>
      </c>
      <c r="Q294" s="10">
        <v>6.4588771705615518</v>
      </c>
      <c r="R294" s="10">
        <v>8.3642465033511879</v>
      </c>
      <c r="S294" s="10">
        <v>92921</v>
      </c>
      <c r="T294" s="10">
        <v>417.29</v>
      </c>
      <c r="U294" s="10">
        <v>31.02</v>
      </c>
      <c r="V294" s="10">
        <v>0.51</v>
      </c>
      <c r="W294" s="10">
        <v>239.5</v>
      </c>
      <c r="X294" s="10">
        <v>1094370.01</v>
      </c>
      <c r="Y294" s="10">
        <v>3205173.2399999998</v>
      </c>
      <c r="Z294" s="10">
        <v>51.1</v>
      </c>
      <c r="AA294" s="10">
        <v>48.3</v>
      </c>
    </row>
    <row r="295" spans="1:27" x14ac:dyDescent="0.25">
      <c r="A295" s="13">
        <v>45747</v>
      </c>
      <c r="B295" s="10">
        <v>5.4</v>
      </c>
      <c r="C295" s="10">
        <v>88.998869999999997</v>
      </c>
      <c r="D295" s="10">
        <v>89.158789999999996</v>
      </c>
      <c r="E295" s="10">
        <v>0</v>
      </c>
      <c r="F295" s="10">
        <v>3.8</v>
      </c>
      <c r="G295" s="10">
        <v>46.6</v>
      </c>
      <c r="H295" s="10">
        <v>5.9</v>
      </c>
      <c r="I295" s="10">
        <v>2.0682</v>
      </c>
      <c r="J295" s="10">
        <v>-0.1</v>
      </c>
      <c r="K295" s="10">
        <v>-2.5</v>
      </c>
      <c r="L295" s="10">
        <v>0</v>
      </c>
      <c r="M295" s="10">
        <v>-2.4</v>
      </c>
      <c r="N295" s="10">
        <v>1.6</v>
      </c>
      <c r="O295" s="10">
        <v>7</v>
      </c>
      <c r="P295" s="10">
        <v>8.4</v>
      </c>
      <c r="Q295" s="10">
        <v>6.3954763004169868</v>
      </c>
      <c r="R295" s="10">
        <v>8.4271271836799873</v>
      </c>
      <c r="S295" s="10">
        <v>151771</v>
      </c>
      <c r="T295" s="10">
        <v>422.97</v>
      </c>
      <c r="U295" s="10">
        <v>7.7</v>
      </c>
      <c r="V295" s="10">
        <v>0.44</v>
      </c>
      <c r="W295" s="10">
        <v>288.5</v>
      </c>
      <c r="X295" s="10">
        <v>1134863.0999999999</v>
      </c>
      <c r="Y295" s="10">
        <v>3260554.57</v>
      </c>
      <c r="Z295" s="10">
        <v>51.8</v>
      </c>
      <c r="AA295" s="10">
        <v>48</v>
      </c>
    </row>
    <row r="296" spans="1:27" x14ac:dyDescent="0.25">
      <c r="A296" s="13">
        <v>45777</v>
      </c>
      <c r="B296" s="10">
        <v>0</v>
      </c>
      <c r="C296" s="10">
        <v>88.231555999999998</v>
      </c>
      <c r="D296" s="10">
        <v>0</v>
      </c>
      <c r="E296" s="10">
        <v>0</v>
      </c>
      <c r="F296" s="10">
        <v>1.9</v>
      </c>
      <c r="G296" s="10">
        <v>44.9</v>
      </c>
      <c r="H296" s="10">
        <v>0</v>
      </c>
      <c r="I296" s="10">
        <v>0</v>
      </c>
      <c r="J296" s="10">
        <v>-0.1</v>
      </c>
      <c r="K296" s="10">
        <v>-2.7</v>
      </c>
      <c r="L296" s="10">
        <v>0</v>
      </c>
      <c r="M296" s="10">
        <v>-2.7</v>
      </c>
      <c r="N296" s="10">
        <v>1.5</v>
      </c>
      <c r="O296" s="10">
        <v>8</v>
      </c>
      <c r="P296" s="10">
        <v>8.6999999999999993</v>
      </c>
      <c r="Q296" s="10">
        <v>7.3703919884764693</v>
      </c>
      <c r="R296" s="10">
        <v>8.4550366836283821</v>
      </c>
      <c r="S296" s="10">
        <v>163362</v>
      </c>
      <c r="T296" s="10">
        <v>424</v>
      </c>
      <c r="U296" s="10">
        <v>0</v>
      </c>
      <c r="V296" s="10">
        <v>0</v>
      </c>
      <c r="W296" s="10">
        <v>0</v>
      </c>
      <c r="X296" s="10">
        <v>1091407.3299999998</v>
      </c>
      <c r="Y296" s="10">
        <v>3251739.32</v>
      </c>
      <c r="Z296" s="10">
        <v>49.2</v>
      </c>
      <c r="AA296" s="10">
        <v>47.3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7555-BE43-4ECD-96F8-D1989B5E464C}">
  <dimension ref="B2:K192"/>
  <sheetViews>
    <sheetView workbookViewId="0">
      <selection activeCell="F4" sqref="F4"/>
    </sheetView>
  </sheetViews>
  <sheetFormatPr defaultColWidth="8.6640625" defaultRowHeight="14" x14ac:dyDescent="0.3"/>
  <cols>
    <col min="1" max="2" width="8.6640625" style="16"/>
    <col min="3" max="3" width="38.33203125" style="16" customWidth="1"/>
    <col min="4" max="4" width="8.1640625" style="16" bestFit="1" customWidth="1"/>
    <col min="5" max="9" width="15.75" style="16" customWidth="1"/>
    <col min="10" max="10" width="11.6640625" style="27" bestFit="1" customWidth="1"/>
    <col min="11" max="11" width="10.33203125" style="27" bestFit="1" customWidth="1"/>
    <col min="12" max="16384" width="8.6640625" style="16"/>
  </cols>
  <sheetData>
    <row r="2" spans="2:11" ht="53.5" customHeight="1" x14ac:dyDescent="0.3">
      <c r="C2" s="14" t="s">
        <v>28</v>
      </c>
      <c r="D2" s="14" t="s">
        <v>58</v>
      </c>
      <c r="E2" s="14" t="s">
        <v>27</v>
      </c>
      <c r="F2" s="14" t="s">
        <v>29</v>
      </c>
      <c r="G2" s="14" t="s">
        <v>42</v>
      </c>
      <c r="H2" s="14" t="s">
        <v>59</v>
      </c>
      <c r="I2" s="14" t="s">
        <v>60</v>
      </c>
      <c r="J2" s="15" t="s">
        <v>56</v>
      </c>
      <c r="K2" s="15" t="s">
        <v>57</v>
      </c>
    </row>
    <row r="3" spans="2:11" x14ac:dyDescent="0.3">
      <c r="C3" s="17" t="s">
        <v>7</v>
      </c>
      <c r="D3" s="18">
        <v>1</v>
      </c>
      <c r="E3" s="19" t="b">
        <v>1</v>
      </c>
      <c r="F3" s="19" t="s">
        <v>30</v>
      </c>
      <c r="G3" s="19" t="b">
        <v>0</v>
      </c>
      <c r="H3" s="19" t="b">
        <v>0</v>
      </c>
      <c r="I3" s="19" t="b">
        <v>0</v>
      </c>
      <c r="J3" s="20">
        <f ca="1">EOMONTH(DATE(LEFT(OFFSET(EDB!$A$3,0,MATCH($C3,EDB!$B$2:$AZ$2,0)),4),MID(OFFSET(EDB!$A$3,0,MATCH($C3,EDB!$B$2:$AZ$2,0)),6,2),1),0)</f>
        <v>33694</v>
      </c>
      <c r="K3" s="20" t="str">
        <f ca="1">OFFSET(EDB!$A$4,0,MATCH($C3,EDB!$B$2:$AZ$2,0))</f>
        <v>2025-04-16</v>
      </c>
    </row>
    <row r="4" spans="2:11" x14ac:dyDescent="0.3">
      <c r="B4" s="21"/>
      <c r="C4" s="22" t="s">
        <v>8</v>
      </c>
      <c r="D4" s="18">
        <v>1</v>
      </c>
      <c r="E4" s="23" t="b">
        <v>1</v>
      </c>
      <c r="F4" s="24" t="s">
        <v>34</v>
      </c>
      <c r="G4" s="23" t="b">
        <v>1</v>
      </c>
      <c r="H4" s="23" t="b">
        <v>0</v>
      </c>
      <c r="I4" s="23" t="b">
        <v>0</v>
      </c>
      <c r="J4" s="20">
        <f ca="1">EOMONTH(DATE(LEFT(OFFSET(EDB!$A$3,0,MATCH($C4,EDB!$B$2:$AZ$2,0)),4),MID(OFFSET(EDB!$A$3,0,MATCH($C4,EDB!$B$2:$AZ$2,0)),6,2),1),0)</f>
        <v>39844</v>
      </c>
      <c r="K4" s="20" t="str">
        <f ca="1">OFFSET(EDB!$A$4,0,MATCH($C4,EDB!$B$2:$AZ$2,0))</f>
        <v>2025-05-06</v>
      </c>
    </row>
    <row r="5" spans="2:11" x14ac:dyDescent="0.3">
      <c r="B5" s="21"/>
      <c r="C5" s="22" t="s">
        <v>9</v>
      </c>
      <c r="D5" s="18">
        <v>1</v>
      </c>
      <c r="E5" s="23" t="b">
        <v>1</v>
      </c>
      <c r="F5" s="24" t="s">
        <v>35</v>
      </c>
      <c r="G5" s="23" t="b">
        <v>1</v>
      </c>
      <c r="H5" s="23" t="b">
        <v>0</v>
      </c>
      <c r="I5" s="23" t="b">
        <v>0</v>
      </c>
      <c r="J5" s="20">
        <f ca="1">EOMONTH(DATE(LEFT(OFFSET(EDB!$A$3,0,MATCH($C5,EDB!$B$2:$AZ$2,0)),4),MID(OFFSET(EDB!$A$3,0,MATCH($C5,EDB!$B$2:$AZ$2,0)),6,2),1),0)</f>
        <v>39844</v>
      </c>
      <c r="K5" s="20" t="str">
        <f ca="1">OFFSET(EDB!$A$4,0,MATCH($C5,EDB!$B$2:$AZ$2,0))</f>
        <v>2025-05-06</v>
      </c>
    </row>
    <row r="6" spans="2:11" x14ac:dyDescent="0.3">
      <c r="B6" s="21"/>
      <c r="C6" s="25" t="s">
        <v>10</v>
      </c>
      <c r="D6" s="18">
        <v>1</v>
      </c>
      <c r="E6" s="23" t="b">
        <v>1</v>
      </c>
      <c r="F6" s="19" t="s">
        <v>31</v>
      </c>
      <c r="G6" s="23" t="b">
        <v>0</v>
      </c>
      <c r="H6" s="23" t="b">
        <v>0</v>
      </c>
      <c r="I6" s="23" t="b">
        <v>1</v>
      </c>
      <c r="J6" s="20">
        <f ca="1">EOMONTH(DATE(LEFT(OFFSET(EDB!$A$3,0,MATCH($C6,EDB!$B$2:$AZ$2,0)),4),MID(OFFSET(EDB!$A$3,0,MATCH($C6,EDB!$B$2:$AZ$2,0)),6,2),1),0)</f>
        <v>33269</v>
      </c>
      <c r="K6" s="20" t="str">
        <f ca="1">OFFSET(EDB!$A$4,0,MATCH($C6,EDB!$B$2:$AZ$2,0))</f>
        <v>2025-02-05</v>
      </c>
    </row>
    <row r="7" spans="2:11" x14ac:dyDescent="0.3">
      <c r="B7" s="21"/>
      <c r="C7" s="22" t="s">
        <v>39</v>
      </c>
      <c r="D7" s="18">
        <v>1</v>
      </c>
      <c r="E7" s="23" t="b">
        <v>1</v>
      </c>
      <c r="F7" s="19" t="s">
        <v>50</v>
      </c>
      <c r="G7" s="23" t="b">
        <v>0</v>
      </c>
      <c r="H7" s="23" t="b">
        <v>0</v>
      </c>
      <c r="I7" s="23" t="b">
        <v>0</v>
      </c>
      <c r="J7" s="20">
        <f ca="1">EOMONTH(DATE(LEFT(OFFSET(EDB!$A$3,0,MATCH($C7,EDB!$B$2:$AZ$2,0)),4),MID(OFFSET(EDB!$A$3,0,MATCH($C7,EDB!$B$2:$AZ$2,0)),6,2),1),0)</f>
        <v>38383</v>
      </c>
      <c r="K7" s="20" t="str">
        <f ca="1">OFFSET(EDB!$A$4,0,MATCH($C7,EDB!$B$2:$AZ$2,0))</f>
        <v>2025-04-30</v>
      </c>
    </row>
    <row r="8" spans="2:11" x14ac:dyDescent="0.3">
      <c r="B8" s="21"/>
      <c r="C8" s="18" t="s">
        <v>40</v>
      </c>
      <c r="D8" s="18">
        <v>1</v>
      </c>
      <c r="E8" s="19" t="b">
        <v>0</v>
      </c>
      <c r="F8" s="19" t="s">
        <v>53</v>
      </c>
      <c r="G8" s="19" t="b">
        <v>0</v>
      </c>
      <c r="H8" s="19" t="b">
        <v>0</v>
      </c>
      <c r="I8" s="19" t="b">
        <v>0</v>
      </c>
      <c r="J8" s="20">
        <f ca="1">EOMONTH(DATE(LEFT(OFFSET(EDB!$A$3,0,MATCH($C8,EDB!$B$2:$AZ$2,0)),4),MID(OFFSET(EDB!$A$3,0,MATCH($C8,EDB!$B$2:$AZ$2,0)),6,2),1),0)</f>
        <v>38383</v>
      </c>
      <c r="K8" s="20" t="str">
        <f ca="1">OFFSET(EDB!$A$4,0,MATCH($C8,EDB!$B$2:$AZ$2,0))</f>
        <v>2025-04-30</v>
      </c>
    </row>
    <row r="9" spans="2:11" x14ac:dyDescent="0.3">
      <c r="B9" s="21"/>
      <c r="C9" s="18" t="s">
        <v>41</v>
      </c>
      <c r="D9" s="18">
        <v>1</v>
      </c>
      <c r="E9" s="19" t="b">
        <v>0</v>
      </c>
      <c r="F9" s="19" t="s">
        <v>53</v>
      </c>
      <c r="G9" s="19" t="b">
        <v>0</v>
      </c>
      <c r="H9" s="19" t="b">
        <v>0</v>
      </c>
      <c r="I9" s="19" t="b">
        <v>0</v>
      </c>
      <c r="J9" s="20">
        <f ca="1">EOMONTH(DATE(LEFT(OFFSET(EDB!$A$3,0,MATCH($C9,EDB!$B$2:$AZ$2,0)),4),MID(OFFSET(EDB!$A$3,0,MATCH($C9,EDB!$B$2:$AZ$2,0)),6,2),1),0)</f>
        <v>38383</v>
      </c>
      <c r="K9" s="20" t="str">
        <f ca="1">OFFSET(EDB!$A$4,0,MATCH($C9,EDB!$B$2:$AZ$2,0))</f>
        <v>2025-04-30</v>
      </c>
    </row>
    <row r="10" spans="2:11" x14ac:dyDescent="0.3">
      <c r="B10" s="21"/>
      <c r="C10" s="22" t="s">
        <v>12</v>
      </c>
      <c r="D10" s="18">
        <v>1</v>
      </c>
      <c r="E10" s="23" t="b">
        <v>1</v>
      </c>
      <c r="F10" s="19" t="s">
        <v>33</v>
      </c>
      <c r="G10" s="23" t="b">
        <v>0</v>
      </c>
      <c r="H10" s="23" t="b">
        <v>0</v>
      </c>
      <c r="I10" s="23" t="b">
        <v>0</v>
      </c>
      <c r="J10" s="20">
        <f ca="1">EOMONTH(DATE(LEFT(OFFSET(EDB!$A$3,0,MATCH($C10,EDB!$B$2:$AZ$2,0)),4),MID(OFFSET(EDB!$A$3,0,MATCH($C10,EDB!$B$2:$AZ$2,0)),6,2),1),0)</f>
        <v>39113</v>
      </c>
      <c r="K10" s="20" t="str">
        <f ca="1">OFFSET(EDB!$A$4,0,MATCH($C10,EDB!$B$2:$AZ$2,0))</f>
        <v>2025-04-30</v>
      </c>
    </row>
    <row r="11" spans="2:11" x14ac:dyDescent="0.3">
      <c r="B11" s="21"/>
      <c r="C11" s="25" t="s">
        <v>13</v>
      </c>
      <c r="D11" s="18">
        <v>1</v>
      </c>
      <c r="E11" s="19" t="b">
        <v>1</v>
      </c>
      <c r="F11" s="19" t="s">
        <v>36</v>
      </c>
      <c r="G11" s="19" t="b">
        <v>0</v>
      </c>
      <c r="H11" s="19" t="b">
        <v>1</v>
      </c>
      <c r="I11" s="19" t="b">
        <v>1</v>
      </c>
      <c r="J11" s="20">
        <f ca="1">EOMONTH(DATE(LEFT(OFFSET(EDB!$A$3,0,MATCH($C11,EDB!$B$2:$AZ$2,0)),4),MID(OFFSET(EDB!$A$3,0,MATCH($C11,EDB!$B$2:$AZ$2,0)),6,2),1),0)</f>
        <v>34730</v>
      </c>
      <c r="K11" s="20" t="str">
        <f ca="1">OFFSET(EDB!$A$4,0,MATCH($C11,EDB!$B$2:$AZ$2,0))</f>
        <v>2025-04-16</v>
      </c>
    </row>
    <row r="12" spans="2:11" x14ac:dyDescent="0.3">
      <c r="B12" s="21"/>
      <c r="C12" s="17" t="s">
        <v>14</v>
      </c>
      <c r="D12" s="18">
        <v>1</v>
      </c>
      <c r="E12" s="19" t="b">
        <v>1</v>
      </c>
      <c r="F12" s="19" t="s">
        <v>43</v>
      </c>
      <c r="G12" s="19" t="b">
        <v>0</v>
      </c>
      <c r="H12" s="19" t="b">
        <v>0</v>
      </c>
      <c r="I12" s="19" t="b">
        <v>0</v>
      </c>
      <c r="J12" s="20">
        <f ca="1">EOMONTH(DATE(LEFT(OFFSET(EDB!$A$3,0,MATCH($C12,EDB!$B$2:$AZ$2,0)),4),MID(OFFSET(EDB!$A$3,0,MATCH($C12,EDB!$B$2:$AZ$2,0)),6,2),1),0)</f>
        <v>34059</v>
      </c>
      <c r="K12" s="20" t="str">
        <f ca="1">OFFSET(EDB!$A$4,0,MATCH($C12,EDB!$B$2:$AZ$2,0))</f>
        <v>2025-04-16</v>
      </c>
    </row>
    <row r="13" spans="2:11" x14ac:dyDescent="0.3">
      <c r="B13" s="21"/>
      <c r="C13" s="22" t="s">
        <v>11</v>
      </c>
      <c r="D13" s="18">
        <v>1</v>
      </c>
      <c r="E13" s="19" t="b">
        <v>1</v>
      </c>
      <c r="F13" s="19" t="s">
        <v>32</v>
      </c>
      <c r="G13" s="19" t="b">
        <v>0</v>
      </c>
      <c r="H13" s="19" t="b">
        <v>1</v>
      </c>
      <c r="I13" s="19" t="b">
        <v>1</v>
      </c>
      <c r="J13" s="20">
        <f ca="1">EOMONTH(DATE(LEFT(OFFSET(EDB!$A$3,0,MATCH($C13,EDB!$B$2:$AZ$2,0)),4),MID(OFFSET(EDB!$A$3,0,MATCH($C13,EDB!$B$2:$AZ$2,0)),6,2),1),0)</f>
        <v>32904</v>
      </c>
      <c r="K13" s="20" t="str">
        <f ca="1">OFFSET(EDB!$A$4,0,MATCH($C13,EDB!$B$2:$AZ$2,0))</f>
        <v>2025-04-16</v>
      </c>
    </row>
    <row r="14" spans="2:11" x14ac:dyDescent="0.3">
      <c r="B14" s="21"/>
      <c r="C14" s="18" t="s">
        <v>23</v>
      </c>
      <c r="D14" s="18">
        <v>1</v>
      </c>
      <c r="E14" s="19" t="b">
        <v>0</v>
      </c>
      <c r="F14" s="19" t="s">
        <v>53</v>
      </c>
      <c r="G14" s="19" t="b">
        <v>0</v>
      </c>
      <c r="H14" s="19" t="b">
        <v>0</v>
      </c>
      <c r="I14" s="19" t="b">
        <v>0</v>
      </c>
      <c r="J14" s="20">
        <f ca="1">EOMONTH(DATE(LEFT(OFFSET(EDB!$A$3,0,MATCH($C14,EDB!$B$2:$AZ$2,0)),4),MID(OFFSET(EDB!$A$3,0,MATCH($C14,EDB!$B$2:$AZ$2,0)),6,2),1),0)</f>
        <v>40602</v>
      </c>
      <c r="K14" s="20" t="str">
        <f ca="1">OFFSET(EDB!$A$4,0,MATCH($C14,EDB!$B$2:$AZ$2,0))</f>
        <v>2025-04-16</v>
      </c>
    </row>
    <row r="15" spans="2:11" x14ac:dyDescent="0.3">
      <c r="B15" s="21"/>
      <c r="C15" s="18" t="s">
        <v>24</v>
      </c>
      <c r="D15" s="18">
        <v>1</v>
      </c>
      <c r="E15" s="19" t="b">
        <v>0</v>
      </c>
      <c r="F15" s="19" t="s">
        <v>53</v>
      </c>
      <c r="G15" s="19" t="b">
        <v>0</v>
      </c>
      <c r="H15" s="19" t="b">
        <v>0</v>
      </c>
      <c r="I15" s="19" t="b">
        <v>0</v>
      </c>
      <c r="J15" s="20">
        <f ca="1">EOMONTH(DATE(LEFT(OFFSET(EDB!$A$3,0,MATCH($C15,EDB!$B$2:$AZ$2,0)),4),MID(OFFSET(EDB!$A$3,0,MATCH($C15,EDB!$B$2:$AZ$2,0)),6,2),1),0)</f>
        <v>40574</v>
      </c>
      <c r="K15" s="20" t="str">
        <f ca="1">OFFSET(EDB!$A$4,0,MATCH($C15,EDB!$B$2:$AZ$2,0))</f>
        <v>2025-04-17</v>
      </c>
    </row>
    <row r="16" spans="2:11" x14ac:dyDescent="0.3">
      <c r="B16" s="21"/>
      <c r="C16" s="22" t="s">
        <v>1</v>
      </c>
      <c r="D16" s="18">
        <v>2</v>
      </c>
      <c r="E16" s="23" t="b">
        <v>1</v>
      </c>
      <c r="F16" s="19" t="s">
        <v>44</v>
      </c>
      <c r="G16" s="23" t="b">
        <v>0</v>
      </c>
      <c r="H16" s="23" t="b">
        <v>0</v>
      </c>
      <c r="I16" s="23" t="b">
        <v>0</v>
      </c>
      <c r="J16" s="20">
        <f ca="1">EOMONTH(DATE(LEFT(OFFSET(EDB!$A$3,0,MATCH($C16,EDB!$B$2:$AZ$2,0)),4),MID(OFFSET(EDB!$A$3,0,MATCH($C16,EDB!$B$2:$AZ$2,0)),6,2),1),0)</f>
        <v>31808</v>
      </c>
      <c r="K16" s="20" t="str">
        <f ca="1">OFFSET(EDB!$A$4,0,MATCH($C16,EDB!$B$2:$AZ$2,0))</f>
        <v>2025-05-10</v>
      </c>
    </row>
    <row r="17" spans="2:11" x14ac:dyDescent="0.3">
      <c r="B17" s="21"/>
      <c r="C17" s="22" t="s">
        <v>5</v>
      </c>
      <c r="D17" s="18">
        <v>2</v>
      </c>
      <c r="E17" s="23" t="b">
        <v>1</v>
      </c>
      <c r="F17" s="19" t="s">
        <v>45</v>
      </c>
      <c r="G17" s="23" t="b">
        <v>0</v>
      </c>
      <c r="H17" s="23" t="b">
        <v>0</v>
      </c>
      <c r="I17" s="23" t="b">
        <v>0</v>
      </c>
      <c r="J17" s="20">
        <f ca="1">EOMONTH(DATE(LEFT(OFFSET(EDB!$A$3,0,MATCH($C17,EDB!$B$2:$AZ$2,0)),4),MID(OFFSET(EDB!$A$3,0,MATCH($C17,EDB!$B$2:$AZ$2,0)),6,2),1),0)</f>
        <v>35369</v>
      </c>
      <c r="K17" s="20" t="str">
        <f ca="1">OFFSET(EDB!$A$4,0,MATCH($C17,EDB!$B$2:$AZ$2,0))</f>
        <v>2025-05-10</v>
      </c>
    </row>
    <row r="18" spans="2:11" x14ac:dyDescent="0.3">
      <c r="B18" s="21"/>
      <c r="C18" s="22" t="s">
        <v>3</v>
      </c>
      <c r="D18" s="18">
        <v>2</v>
      </c>
      <c r="E18" s="23" t="b">
        <v>1</v>
      </c>
      <c r="F18" s="19" t="s">
        <v>46</v>
      </c>
      <c r="G18" s="23" t="b">
        <v>0</v>
      </c>
      <c r="H18" s="23" t="b">
        <v>0</v>
      </c>
      <c r="I18" s="23" t="b">
        <v>0</v>
      </c>
      <c r="J18" s="20">
        <f ca="1">EOMONTH(DATE(LEFT(OFFSET(EDB!$A$3,0,MATCH($C18,EDB!$B$2:$AZ$2,0)),4),MID(OFFSET(EDB!$A$3,0,MATCH($C18,EDB!$B$2:$AZ$2,0)),6,2),1),0)</f>
        <v>30347</v>
      </c>
      <c r="K18" s="20" t="str">
        <f ca="1">OFFSET(EDB!$A$4,0,MATCH($C18,EDB!$B$2:$AZ$2,0))</f>
        <v>2023-01-16</v>
      </c>
    </row>
    <row r="19" spans="2:11" x14ac:dyDescent="0.3">
      <c r="B19" s="21"/>
      <c r="C19" s="22" t="s">
        <v>15</v>
      </c>
      <c r="D19" s="18">
        <v>2</v>
      </c>
      <c r="E19" s="23" t="b">
        <v>1</v>
      </c>
      <c r="F19" s="19" t="s">
        <v>47</v>
      </c>
      <c r="G19" s="23" t="b">
        <v>0</v>
      </c>
      <c r="H19" s="23" t="b">
        <v>0</v>
      </c>
      <c r="I19" s="23" t="b">
        <v>0</v>
      </c>
      <c r="J19" s="20">
        <f ca="1">EOMONTH(DATE(LEFT(OFFSET(EDB!$A$3,0,MATCH($C19,EDB!$B$2:$AZ$2,0)),4),MID(OFFSET(EDB!$A$3,0,MATCH($C19,EDB!$B$2:$AZ$2,0)),6,2),1),0)</f>
        <v>35369</v>
      </c>
      <c r="K19" s="20" t="str">
        <f ca="1">OFFSET(EDB!$A$4,0,MATCH($C19,EDB!$B$2:$AZ$2,0))</f>
        <v>2025-05-10</v>
      </c>
    </row>
    <row r="20" spans="2:11" x14ac:dyDescent="0.3">
      <c r="B20" s="21"/>
      <c r="C20" s="17" t="s">
        <v>16</v>
      </c>
      <c r="D20" s="18">
        <v>3</v>
      </c>
      <c r="E20" s="23" t="b">
        <v>1</v>
      </c>
      <c r="F20" s="19" t="s">
        <v>48</v>
      </c>
      <c r="G20" s="23" t="b">
        <v>0</v>
      </c>
      <c r="H20" s="23" t="b">
        <v>1</v>
      </c>
      <c r="I20" s="23" t="b">
        <v>0</v>
      </c>
      <c r="J20" s="20">
        <f ca="1">EOMONTH(DATE(LEFT(OFFSET(EDB!$A$3,0,MATCH($C20,EDB!$B$2:$AZ$2,0)),4),MID(OFFSET(EDB!$A$3,0,MATCH($C20,EDB!$B$2:$AZ$2,0)),6,2),1),0)</f>
        <v>31777</v>
      </c>
      <c r="K20" s="20" t="str">
        <f ca="1">OFFSET(EDB!$A$4,0,MATCH($C20,EDB!$B$2:$AZ$2,0))</f>
        <v>2025-05-14</v>
      </c>
    </row>
    <row r="21" spans="2:11" x14ac:dyDescent="0.3">
      <c r="B21" s="21"/>
      <c r="C21" s="22" t="s">
        <v>17</v>
      </c>
      <c r="D21" s="18">
        <v>3</v>
      </c>
      <c r="E21" s="23" t="b">
        <v>1</v>
      </c>
      <c r="F21" s="19" t="s">
        <v>49</v>
      </c>
      <c r="G21" s="23" t="b">
        <v>0</v>
      </c>
      <c r="H21" s="23" t="b">
        <v>1</v>
      </c>
      <c r="I21" s="23" t="b">
        <v>0</v>
      </c>
      <c r="J21" s="20">
        <f ca="1">EOMONTH(DATE(LEFT(OFFSET(EDB!$A$3,0,MATCH($C21,EDB!$B$2:$AZ$2,0)),4),MID(OFFSET(EDB!$A$3,0,MATCH($C21,EDB!$B$2:$AZ$2,0)),6,2),1),0)</f>
        <v>31777</v>
      </c>
      <c r="K21" s="20" t="str">
        <f ca="1">OFFSET(EDB!$A$4,0,MATCH($C21,EDB!$B$2:$AZ$2,0))</f>
        <v>2025-05-14</v>
      </c>
    </row>
    <row r="22" spans="2:11" x14ac:dyDescent="0.3">
      <c r="B22" s="21"/>
      <c r="C22" s="22" t="s">
        <v>18</v>
      </c>
      <c r="D22" s="18">
        <v>3</v>
      </c>
      <c r="E22" s="23" t="b">
        <v>1</v>
      </c>
      <c r="F22" s="24" t="s">
        <v>51</v>
      </c>
      <c r="G22" s="23" t="b">
        <v>1</v>
      </c>
      <c r="H22" s="23" t="b">
        <v>1</v>
      </c>
      <c r="I22" s="23" t="b">
        <v>0</v>
      </c>
      <c r="J22" s="20">
        <f ca="1">EOMONTH(DATE(LEFT(OFFSET(EDB!$A$3,0,MATCH($C22,EDB!$B$2:$AZ$2,0)),4),MID(OFFSET(EDB!$A$3,0,MATCH($C22,EDB!$B$2:$AZ$2,0)),6,2),1),0)</f>
        <v>37986</v>
      </c>
      <c r="K22" s="20" t="str">
        <f ca="1">OFFSET(EDB!$A$4,0,MATCH($C22,EDB!$B$2:$AZ$2,0))</f>
        <v>2025-05-14</v>
      </c>
    </row>
    <row r="23" spans="2:11" x14ac:dyDescent="0.3">
      <c r="B23" s="21"/>
      <c r="C23" s="22" t="s">
        <v>21</v>
      </c>
      <c r="D23" s="18">
        <v>3</v>
      </c>
      <c r="E23" s="19" t="b">
        <v>1</v>
      </c>
      <c r="F23" s="24" t="s">
        <v>54</v>
      </c>
      <c r="G23" s="19" t="b">
        <v>1</v>
      </c>
      <c r="H23" s="19" t="b">
        <v>0</v>
      </c>
      <c r="I23" s="19" t="b">
        <v>0</v>
      </c>
      <c r="J23" s="20">
        <f ca="1">EOMONTH(DATE(LEFT(OFFSET(EDB!$A$3,0,MATCH($C23,EDB!$B$2:$AZ$2,0)),4),MID(OFFSET(EDB!$A$3,0,MATCH($C23,EDB!$B$2:$AZ$2,0)),6,2),1),0)</f>
        <v>37287</v>
      </c>
      <c r="K23" s="20" t="str">
        <f ca="1">OFFSET(EDB!$A$4,0,MATCH($C23,EDB!$B$2:$AZ$2,0))</f>
        <v>2025-05-14</v>
      </c>
    </row>
    <row r="24" spans="2:11" x14ac:dyDescent="0.3">
      <c r="B24" s="21"/>
      <c r="C24" s="22" t="s">
        <v>22</v>
      </c>
      <c r="D24" s="18">
        <v>3</v>
      </c>
      <c r="E24" s="19" t="b">
        <v>1</v>
      </c>
      <c r="F24" s="24" t="s">
        <v>55</v>
      </c>
      <c r="G24" s="19" t="b">
        <v>1</v>
      </c>
      <c r="H24" s="19" t="b">
        <v>0</v>
      </c>
      <c r="I24" s="19" t="b">
        <v>1</v>
      </c>
      <c r="J24" s="20">
        <f ca="1">EOMONTH(DATE(LEFT(OFFSET(EDB!$A$3,0,MATCH($C24,EDB!$B$2:$AZ$2,0)),4),MID(OFFSET(EDB!$A$3,0,MATCH($C24,EDB!$B$2:$AZ$2,0)),6,2),1),0)</f>
        <v>37621</v>
      </c>
      <c r="K24" s="20" t="str">
        <f ca="1">OFFSET(EDB!$A$4,0,MATCH($C24,EDB!$B$2:$AZ$2,0))</f>
        <v>2025-05-14</v>
      </c>
    </row>
    <row r="25" spans="2:11" x14ac:dyDescent="0.3">
      <c r="B25" s="21"/>
      <c r="C25" s="22" t="s">
        <v>19</v>
      </c>
      <c r="D25" s="18">
        <v>3</v>
      </c>
      <c r="E25" s="23" t="b">
        <v>1</v>
      </c>
      <c r="F25" s="19" t="s">
        <v>52</v>
      </c>
      <c r="G25" s="23" t="b">
        <v>0</v>
      </c>
      <c r="H25" s="23" t="b">
        <v>1</v>
      </c>
      <c r="I25" s="23" t="b">
        <v>0</v>
      </c>
      <c r="J25" s="20">
        <f ca="1">EOMONTH(DATE(LEFT(OFFSET(EDB!$A$3,0,MATCH($C25,EDB!$B$2:$AZ$2,0)),4),MID(OFFSET(EDB!$A$3,0,MATCH($C25,EDB!$B$2:$AZ$2,0)),6,2),1),0)</f>
        <v>38807</v>
      </c>
      <c r="K25" s="20" t="str">
        <f ca="1">OFFSET(EDB!$A$4,0,MATCH($C25,EDB!$B$2:$AZ$2,0))</f>
        <v>2025-05-14</v>
      </c>
    </row>
    <row r="26" spans="2:11" x14ac:dyDescent="0.3">
      <c r="B26" s="21"/>
      <c r="C26" s="18" t="s">
        <v>20</v>
      </c>
      <c r="D26" s="18">
        <v>3</v>
      </c>
      <c r="E26" s="19" t="b">
        <v>0</v>
      </c>
      <c r="F26" s="19" t="s">
        <v>53</v>
      </c>
      <c r="G26" s="19" t="b">
        <v>0</v>
      </c>
      <c r="H26" s="19" t="b">
        <v>1</v>
      </c>
      <c r="I26" s="19" t="b">
        <v>0</v>
      </c>
      <c r="J26" s="20">
        <f ca="1">EOMONTH(DATE(LEFT(OFFSET(EDB!$A$3,0,MATCH($C26,EDB!$B$2:$AZ$2,0)),4),MID(OFFSET(EDB!$A$3,0,MATCH($C26,EDB!$B$2:$AZ$2,0)),6,2),1),0)</f>
        <v>38717</v>
      </c>
      <c r="K26" s="20" t="str">
        <f ca="1">OFFSET(EDB!$A$4,0,MATCH($C26,EDB!$B$2:$AZ$2,0))</f>
        <v>2025-05-14</v>
      </c>
    </row>
    <row r="27" spans="2:11" x14ac:dyDescent="0.3">
      <c r="B27" s="21"/>
      <c r="C27" s="18" t="s">
        <v>25</v>
      </c>
      <c r="D27" s="18">
        <v>3</v>
      </c>
      <c r="E27" s="19" t="b">
        <v>0</v>
      </c>
      <c r="F27" s="19" t="s">
        <v>53</v>
      </c>
      <c r="G27" s="19" t="b">
        <v>0</v>
      </c>
      <c r="H27" s="19" t="b">
        <v>0</v>
      </c>
      <c r="I27" s="19" t="b">
        <v>0</v>
      </c>
      <c r="J27" s="20">
        <f ca="1">EOMONTH(DATE(LEFT(OFFSET(EDB!$A$3,0,MATCH($C27,EDB!$B$2:$AZ$2,0)),4),MID(OFFSET(EDB!$A$3,0,MATCH($C27,EDB!$B$2:$AZ$2,0)),6,2),1),0)</f>
        <v>31412</v>
      </c>
      <c r="K27" s="20" t="str">
        <f ca="1">OFFSET(EDB!$A$4,0,MATCH($C27,EDB!$B$2:$AZ$2,0))</f>
        <v>2025-05-14</v>
      </c>
    </row>
    <row r="28" spans="2:11" x14ac:dyDescent="0.3">
      <c r="B28" s="21"/>
      <c r="C28" s="18" t="s">
        <v>26</v>
      </c>
      <c r="D28" s="18">
        <v>3</v>
      </c>
      <c r="E28" s="19" t="b">
        <v>0</v>
      </c>
      <c r="F28" s="19" t="s">
        <v>53</v>
      </c>
      <c r="G28" s="19" t="b">
        <v>0</v>
      </c>
      <c r="H28" s="19" t="b">
        <v>0</v>
      </c>
      <c r="I28" s="19" t="b">
        <v>0</v>
      </c>
      <c r="J28" s="20">
        <f ca="1">EOMONTH(DATE(LEFT(OFFSET(EDB!$A$3,0,MATCH($C28,EDB!$B$2:$AZ$2,0)),4),MID(OFFSET(EDB!$A$3,0,MATCH($C28,EDB!$B$2:$AZ$2,0)),6,2),1),0)</f>
        <v>31412</v>
      </c>
      <c r="K28" s="20" t="str">
        <f ca="1">OFFSET(EDB!$A$4,0,MATCH($C28,EDB!$B$2:$AZ$2,0))</f>
        <v>2025-05-14</v>
      </c>
    </row>
    <row r="29" spans="2:11" x14ac:dyDescent="0.3">
      <c r="B29" s="21"/>
      <c r="C29" s="26"/>
      <c r="D29" s="26"/>
      <c r="E29" s="26"/>
    </row>
    <row r="30" spans="2:11" x14ac:dyDescent="0.3">
      <c r="B30" s="21"/>
      <c r="C30" s="26"/>
      <c r="D30" s="26"/>
      <c r="E30" s="26"/>
    </row>
    <row r="31" spans="2:11" x14ac:dyDescent="0.3">
      <c r="B31" s="21"/>
      <c r="C31" s="26"/>
      <c r="D31" s="26"/>
      <c r="E31" s="26"/>
    </row>
    <row r="32" spans="2:11" x14ac:dyDescent="0.3">
      <c r="B32" s="21"/>
      <c r="C32" s="26"/>
      <c r="D32" s="26"/>
      <c r="E32" s="26"/>
    </row>
    <row r="33" spans="2:5" x14ac:dyDescent="0.3">
      <c r="B33" s="21"/>
      <c r="C33" s="26"/>
      <c r="D33" s="26"/>
      <c r="E33" s="26"/>
    </row>
    <row r="34" spans="2:5" x14ac:dyDescent="0.3">
      <c r="B34" s="21"/>
      <c r="C34" s="26"/>
      <c r="D34" s="26"/>
      <c r="E34" s="26"/>
    </row>
    <row r="35" spans="2:5" x14ac:dyDescent="0.3">
      <c r="B35" s="21"/>
      <c r="C35" s="26"/>
      <c r="D35" s="26"/>
      <c r="E35" s="26"/>
    </row>
    <row r="36" spans="2:5" x14ac:dyDescent="0.3">
      <c r="B36" s="21"/>
      <c r="C36" s="26"/>
      <c r="D36" s="26"/>
      <c r="E36" s="26"/>
    </row>
    <row r="37" spans="2:5" x14ac:dyDescent="0.3">
      <c r="B37" s="21"/>
      <c r="C37" s="26"/>
      <c r="D37" s="26"/>
      <c r="E37" s="26"/>
    </row>
    <row r="38" spans="2:5" x14ac:dyDescent="0.3">
      <c r="B38" s="21"/>
      <c r="C38" s="26"/>
      <c r="D38" s="26"/>
      <c r="E38" s="26"/>
    </row>
    <row r="39" spans="2:5" x14ac:dyDescent="0.3">
      <c r="B39" s="21"/>
      <c r="C39" s="26"/>
      <c r="D39" s="26"/>
      <c r="E39" s="26"/>
    </row>
    <row r="40" spans="2:5" x14ac:dyDescent="0.3">
      <c r="B40" s="21"/>
      <c r="C40" s="26"/>
      <c r="D40" s="26"/>
      <c r="E40" s="26"/>
    </row>
    <row r="41" spans="2:5" x14ac:dyDescent="0.3">
      <c r="B41" s="21"/>
      <c r="C41" s="26"/>
      <c r="D41" s="26"/>
      <c r="E41" s="26"/>
    </row>
    <row r="42" spans="2:5" x14ac:dyDescent="0.3">
      <c r="B42" s="21"/>
      <c r="C42" s="26"/>
      <c r="D42" s="26"/>
      <c r="E42" s="26"/>
    </row>
    <row r="43" spans="2:5" x14ac:dyDescent="0.3">
      <c r="B43" s="21"/>
      <c r="C43" s="26"/>
      <c r="D43" s="26"/>
      <c r="E43" s="26"/>
    </row>
    <row r="44" spans="2:5" x14ac:dyDescent="0.3">
      <c r="B44" s="21"/>
      <c r="C44" s="26"/>
      <c r="D44" s="26"/>
      <c r="E44" s="26"/>
    </row>
    <row r="45" spans="2:5" x14ac:dyDescent="0.3">
      <c r="B45" s="21"/>
      <c r="C45" s="26"/>
      <c r="D45" s="26"/>
      <c r="E45" s="26"/>
    </row>
    <row r="46" spans="2:5" x14ac:dyDescent="0.3">
      <c r="B46" s="21"/>
      <c r="C46" s="26"/>
      <c r="D46" s="26"/>
      <c r="E46" s="26"/>
    </row>
    <row r="47" spans="2:5" x14ac:dyDescent="0.3">
      <c r="B47" s="21"/>
      <c r="C47" s="26"/>
      <c r="D47" s="26"/>
      <c r="E47" s="26"/>
    </row>
    <row r="48" spans="2:5" x14ac:dyDescent="0.3">
      <c r="B48" s="21"/>
      <c r="C48" s="26"/>
      <c r="D48" s="26"/>
      <c r="E48" s="26"/>
    </row>
    <row r="49" spans="2:5" x14ac:dyDescent="0.3">
      <c r="B49" s="21"/>
      <c r="C49" s="26"/>
      <c r="D49" s="26"/>
      <c r="E49" s="26"/>
    </row>
    <row r="50" spans="2:5" x14ac:dyDescent="0.3">
      <c r="B50" s="21"/>
      <c r="C50" s="26"/>
      <c r="D50" s="26"/>
      <c r="E50" s="26"/>
    </row>
    <row r="51" spans="2:5" x14ac:dyDescent="0.3">
      <c r="B51" s="21"/>
      <c r="C51" s="26"/>
      <c r="D51" s="26"/>
      <c r="E51" s="26"/>
    </row>
    <row r="52" spans="2:5" x14ac:dyDescent="0.3">
      <c r="B52" s="21"/>
      <c r="C52" s="26"/>
      <c r="D52" s="26"/>
      <c r="E52" s="26"/>
    </row>
    <row r="53" spans="2:5" x14ac:dyDescent="0.3">
      <c r="B53" s="21"/>
      <c r="C53" s="26"/>
      <c r="D53" s="26"/>
      <c r="E53" s="26"/>
    </row>
    <row r="54" spans="2:5" x14ac:dyDescent="0.3">
      <c r="B54" s="21"/>
      <c r="C54" s="26"/>
      <c r="D54" s="26"/>
      <c r="E54" s="26"/>
    </row>
    <row r="55" spans="2:5" x14ac:dyDescent="0.3">
      <c r="B55" s="21"/>
      <c r="C55" s="26"/>
      <c r="D55" s="26"/>
      <c r="E55" s="26"/>
    </row>
    <row r="56" spans="2:5" x14ac:dyDescent="0.3">
      <c r="B56" s="21"/>
      <c r="C56" s="26"/>
      <c r="D56" s="26"/>
      <c r="E56" s="26"/>
    </row>
    <row r="57" spans="2:5" x14ac:dyDescent="0.3">
      <c r="B57" s="21"/>
      <c r="C57" s="26"/>
      <c r="D57" s="26"/>
      <c r="E57" s="26"/>
    </row>
    <row r="58" spans="2:5" x14ac:dyDescent="0.3">
      <c r="B58" s="21"/>
      <c r="C58" s="26"/>
      <c r="D58" s="26"/>
      <c r="E58" s="26"/>
    </row>
    <row r="59" spans="2:5" x14ac:dyDescent="0.3">
      <c r="B59" s="21"/>
      <c r="C59" s="26"/>
      <c r="D59" s="26"/>
      <c r="E59" s="26"/>
    </row>
    <row r="60" spans="2:5" x14ac:dyDescent="0.3">
      <c r="B60" s="21"/>
      <c r="C60" s="26"/>
      <c r="D60" s="26"/>
      <c r="E60" s="26"/>
    </row>
    <row r="61" spans="2:5" x14ac:dyDescent="0.3">
      <c r="B61" s="21"/>
      <c r="C61" s="26"/>
      <c r="D61" s="26"/>
      <c r="E61" s="26"/>
    </row>
    <row r="62" spans="2:5" x14ac:dyDescent="0.3">
      <c r="B62" s="21"/>
      <c r="C62" s="26"/>
      <c r="D62" s="26"/>
      <c r="E62" s="26"/>
    </row>
    <row r="63" spans="2:5" x14ac:dyDescent="0.3">
      <c r="B63" s="21"/>
      <c r="C63" s="26"/>
      <c r="D63" s="26"/>
      <c r="E63" s="26"/>
    </row>
    <row r="64" spans="2:5" x14ac:dyDescent="0.3">
      <c r="B64" s="21"/>
      <c r="C64" s="26"/>
      <c r="D64" s="26"/>
      <c r="E64" s="26"/>
    </row>
    <row r="65" spans="2:5" x14ac:dyDescent="0.3">
      <c r="B65" s="21"/>
      <c r="C65" s="26"/>
      <c r="D65" s="26"/>
      <c r="E65" s="26"/>
    </row>
    <row r="66" spans="2:5" x14ac:dyDescent="0.3">
      <c r="B66" s="21"/>
      <c r="C66" s="26"/>
      <c r="D66" s="26"/>
      <c r="E66" s="26"/>
    </row>
    <row r="67" spans="2:5" x14ac:dyDescent="0.3">
      <c r="B67" s="21"/>
      <c r="C67" s="26"/>
      <c r="D67" s="26"/>
      <c r="E67" s="26"/>
    </row>
    <row r="68" spans="2:5" x14ac:dyDescent="0.3">
      <c r="B68" s="21"/>
      <c r="C68" s="26"/>
      <c r="D68" s="26"/>
      <c r="E68" s="26"/>
    </row>
    <row r="69" spans="2:5" x14ac:dyDescent="0.3">
      <c r="B69" s="21"/>
      <c r="C69" s="26"/>
      <c r="D69" s="26"/>
      <c r="E69" s="26"/>
    </row>
    <row r="70" spans="2:5" x14ac:dyDescent="0.3">
      <c r="B70" s="21"/>
      <c r="C70" s="26"/>
      <c r="D70" s="26"/>
      <c r="E70" s="26"/>
    </row>
    <row r="71" spans="2:5" x14ac:dyDescent="0.3">
      <c r="B71" s="21"/>
      <c r="C71" s="26"/>
      <c r="D71" s="26"/>
      <c r="E71" s="26"/>
    </row>
    <row r="72" spans="2:5" x14ac:dyDescent="0.3">
      <c r="B72" s="21"/>
      <c r="C72" s="26"/>
      <c r="D72" s="26"/>
      <c r="E72" s="26"/>
    </row>
    <row r="73" spans="2:5" x14ac:dyDescent="0.3">
      <c r="B73" s="21"/>
      <c r="C73" s="26"/>
      <c r="D73" s="26"/>
      <c r="E73" s="26"/>
    </row>
    <row r="74" spans="2:5" x14ac:dyDescent="0.3">
      <c r="B74" s="21"/>
      <c r="C74" s="26"/>
      <c r="D74" s="26"/>
      <c r="E74" s="26"/>
    </row>
    <row r="75" spans="2:5" x14ac:dyDescent="0.3">
      <c r="B75" s="21"/>
      <c r="C75" s="26"/>
      <c r="D75" s="26"/>
      <c r="E75" s="26"/>
    </row>
    <row r="76" spans="2:5" x14ac:dyDescent="0.3">
      <c r="B76" s="21"/>
      <c r="C76" s="26"/>
      <c r="D76" s="26"/>
      <c r="E76" s="26"/>
    </row>
    <row r="77" spans="2:5" x14ac:dyDescent="0.3">
      <c r="B77" s="21"/>
      <c r="C77" s="26"/>
      <c r="D77" s="26"/>
      <c r="E77" s="26"/>
    </row>
    <row r="78" spans="2:5" x14ac:dyDescent="0.3">
      <c r="B78" s="21"/>
      <c r="C78" s="26"/>
      <c r="D78" s="26"/>
      <c r="E78" s="26"/>
    </row>
    <row r="79" spans="2:5" x14ac:dyDescent="0.3">
      <c r="B79" s="21"/>
      <c r="C79" s="26"/>
      <c r="D79" s="26"/>
      <c r="E79" s="26"/>
    </row>
    <row r="80" spans="2:5" x14ac:dyDescent="0.3">
      <c r="B80" s="21"/>
      <c r="C80" s="26"/>
      <c r="D80" s="26"/>
      <c r="E80" s="26"/>
    </row>
    <row r="81" spans="2:5" x14ac:dyDescent="0.3">
      <c r="B81" s="21"/>
      <c r="C81" s="26"/>
      <c r="D81" s="26"/>
      <c r="E81" s="26"/>
    </row>
    <row r="82" spans="2:5" x14ac:dyDescent="0.3">
      <c r="B82" s="21"/>
      <c r="C82" s="26"/>
      <c r="D82" s="26"/>
      <c r="E82" s="26"/>
    </row>
    <row r="83" spans="2:5" x14ac:dyDescent="0.3">
      <c r="B83" s="21"/>
      <c r="C83" s="26"/>
      <c r="D83" s="26"/>
      <c r="E83" s="26"/>
    </row>
    <row r="84" spans="2:5" x14ac:dyDescent="0.3">
      <c r="B84" s="21"/>
      <c r="C84" s="26"/>
      <c r="D84" s="26"/>
      <c r="E84" s="26"/>
    </row>
    <row r="85" spans="2:5" x14ac:dyDescent="0.3">
      <c r="B85" s="21"/>
      <c r="C85" s="26"/>
      <c r="D85" s="26"/>
      <c r="E85" s="26"/>
    </row>
    <row r="86" spans="2:5" x14ac:dyDescent="0.3">
      <c r="B86" s="21"/>
      <c r="C86" s="26"/>
      <c r="D86" s="26"/>
      <c r="E86" s="26"/>
    </row>
    <row r="87" spans="2:5" x14ac:dyDescent="0.3">
      <c r="B87" s="21"/>
      <c r="C87" s="26"/>
      <c r="D87" s="26"/>
      <c r="E87" s="26"/>
    </row>
    <row r="88" spans="2:5" x14ac:dyDescent="0.3">
      <c r="B88" s="21"/>
      <c r="C88" s="26"/>
      <c r="D88" s="26"/>
      <c r="E88" s="26"/>
    </row>
    <row r="89" spans="2:5" x14ac:dyDescent="0.3">
      <c r="B89" s="21"/>
      <c r="C89" s="26"/>
      <c r="D89" s="26"/>
      <c r="E89" s="26"/>
    </row>
    <row r="90" spans="2:5" x14ac:dyDescent="0.3">
      <c r="B90" s="21"/>
      <c r="C90" s="26"/>
      <c r="D90" s="26"/>
      <c r="E90" s="26"/>
    </row>
    <row r="91" spans="2:5" x14ac:dyDescent="0.3">
      <c r="B91" s="21"/>
      <c r="C91" s="26"/>
      <c r="D91" s="26"/>
      <c r="E91" s="26"/>
    </row>
    <row r="92" spans="2:5" x14ac:dyDescent="0.3">
      <c r="B92" s="21"/>
      <c r="C92" s="26"/>
      <c r="D92" s="26"/>
      <c r="E92" s="26"/>
    </row>
    <row r="93" spans="2:5" x14ac:dyDescent="0.3">
      <c r="B93" s="21"/>
      <c r="C93" s="26"/>
      <c r="D93" s="26"/>
      <c r="E93" s="26"/>
    </row>
    <row r="94" spans="2:5" x14ac:dyDescent="0.3">
      <c r="B94" s="21"/>
      <c r="C94" s="26"/>
      <c r="D94" s="26"/>
      <c r="E94" s="26"/>
    </row>
    <row r="95" spans="2:5" x14ac:dyDescent="0.3">
      <c r="B95" s="21"/>
      <c r="C95" s="26"/>
      <c r="D95" s="26"/>
      <c r="E95" s="26"/>
    </row>
    <row r="96" spans="2:5" x14ac:dyDescent="0.3">
      <c r="B96" s="21"/>
      <c r="C96" s="26"/>
      <c r="D96" s="26"/>
      <c r="E96" s="26"/>
    </row>
    <row r="97" spans="2:5" x14ac:dyDescent="0.3">
      <c r="B97" s="21"/>
      <c r="C97" s="26"/>
      <c r="D97" s="26"/>
      <c r="E97" s="26"/>
    </row>
    <row r="98" spans="2:5" x14ac:dyDescent="0.3">
      <c r="B98" s="21"/>
      <c r="C98" s="26"/>
      <c r="D98" s="26"/>
      <c r="E98" s="26"/>
    </row>
    <row r="99" spans="2:5" x14ac:dyDescent="0.3">
      <c r="B99" s="21"/>
      <c r="C99" s="26"/>
      <c r="D99" s="26"/>
      <c r="E99" s="26"/>
    </row>
    <row r="100" spans="2:5" x14ac:dyDescent="0.3">
      <c r="B100" s="21"/>
      <c r="C100" s="26"/>
      <c r="D100" s="26"/>
      <c r="E100" s="26"/>
    </row>
    <row r="101" spans="2:5" x14ac:dyDescent="0.3">
      <c r="B101" s="21"/>
      <c r="C101" s="26"/>
      <c r="D101" s="26"/>
      <c r="E101" s="26"/>
    </row>
    <row r="102" spans="2:5" x14ac:dyDescent="0.3">
      <c r="B102" s="21"/>
      <c r="C102" s="26"/>
      <c r="D102" s="26"/>
      <c r="E102" s="26"/>
    </row>
    <row r="103" spans="2:5" x14ac:dyDescent="0.3">
      <c r="B103" s="21"/>
      <c r="C103" s="26"/>
      <c r="D103" s="26"/>
      <c r="E103" s="26"/>
    </row>
    <row r="104" spans="2:5" x14ac:dyDescent="0.3">
      <c r="B104" s="21"/>
      <c r="C104" s="26"/>
      <c r="D104" s="26"/>
      <c r="E104" s="26"/>
    </row>
    <row r="105" spans="2:5" x14ac:dyDescent="0.3">
      <c r="B105" s="21"/>
      <c r="C105" s="26"/>
      <c r="D105" s="26"/>
      <c r="E105" s="26"/>
    </row>
    <row r="106" spans="2:5" x14ac:dyDescent="0.3">
      <c r="B106" s="21"/>
      <c r="C106" s="26"/>
      <c r="D106" s="26"/>
      <c r="E106" s="26"/>
    </row>
    <row r="107" spans="2:5" x14ac:dyDescent="0.3">
      <c r="B107" s="21"/>
      <c r="C107" s="26"/>
      <c r="D107" s="26"/>
      <c r="E107" s="26"/>
    </row>
    <row r="108" spans="2:5" x14ac:dyDescent="0.3">
      <c r="B108" s="21"/>
      <c r="C108" s="26"/>
      <c r="D108" s="26"/>
      <c r="E108" s="26"/>
    </row>
    <row r="109" spans="2:5" x14ac:dyDescent="0.3">
      <c r="B109" s="21"/>
      <c r="C109" s="26"/>
      <c r="D109" s="26"/>
      <c r="E109" s="26"/>
    </row>
    <row r="110" spans="2:5" x14ac:dyDescent="0.3">
      <c r="B110" s="21"/>
      <c r="C110" s="26"/>
      <c r="D110" s="26"/>
      <c r="E110" s="26"/>
    </row>
    <row r="111" spans="2:5" x14ac:dyDescent="0.3">
      <c r="B111" s="21"/>
      <c r="C111" s="26"/>
      <c r="D111" s="26"/>
      <c r="E111" s="26"/>
    </row>
    <row r="112" spans="2:5" x14ac:dyDescent="0.3">
      <c r="B112" s="21"/>
      <c r="C112" s="26"/>
      <c r="D112" s="26"/>
      <c r="E112" s="26"/>
    </row>
    <row r="113" spans="2:5" x14ac:dyDescent="0.3">
      <c r="B113" s="21"/>
      <c r="C113" s="26"/>
      <c r="D113" s="26"/>
      <c r="E113" s="26"/>
    </row>
    <row r="114" spans="2:5" x14ac:dyDescent="0.3">
      <c r="B114" s="21"/>
      <c r="C114" s="26"/>
      <c r="D114" s="26"/>
      <c r="E114" s="26"/>
    </row>
    <row r="115" spans="2:5" x14ac:dyDescent="0.3">
      <c r="B115" s="21"/>
      <c r="C115" s="26"/>
      <c r="D115" s="26"/>
      <c r="E115" s="26"/>
    </row>
    <row r="116" spans="2:5" x14ac:dyDescent="0.3">
      <c r="B116" s="21"/>
      <c r="C116" s="26"/>
      <c r="D116" s="26"/>
      <c r="E116" s="26"/>
    </row>
    <row r="117" spans="2:5" x14ac:dyDescent="0.3">
      <c r="B117" s="21"/>
      <c r="C117" s="26"/>
      <c r="D117" s="26"/>
      <c r="E117" s="26"/>
    </row>
    <row r="118" spans="2:5" x14ac:dyDescent="0.3">
      <c r="B118" s="21"/>
      <c r="C118" s="26"/>
      <c r="D118" s="26"/>
      <c r="E118" s="26"/>
    </row>
    <row r="119" spans="2:5" x14ac:dyDescent="0.3">
      <c r="B119" s="21"/>
      <c r="C119" s="26"/>
      <c r="D119" s="26"/>
      <c r="E119" s="26"/>
    </row>
    <row r="120" spans="2:5" x14ac:dyDescent="0.3">
      <c r="B120" s="21"/>
      <c r="C120" s="26"/>
      <c r="D120" s="26"/>
      <c r="E120" s="26"/>
    </row>
    <row r="121" spans="2:5" x14ac:dyDescent="0.3">
      <c r="B121" s="21"/>
      <c r="C121" s="26"/>
      <c r="D121" s="26"/>
      <c r="E121" s="26"/>
    </row>
    <row r="122" spans="2:5" x14ac:dyDescent="0.3">
      <c r="B122" s="21"/>
      <c r="C122" s="26"/>
      <c r="D122" s="26"/>
      <c r="E122" s="26"/>
    </row>
    <row r="123" spans="2:5" x14ac:dyDescent="0.3">
      <c r="B123" s="21"/>
      <c r="C123" s="26"/>
      <c r="D123" s="26"/>
      <c r="E123" s="26"/>
    </row>
    <row r="124" spans="2:5" x14ac:dyDescent="0.3">
      <c r="B124" s="21"/>
      <c r="C124" s="26"/>
      <c r="D124" s="26"/>
      <c r="E124" s="26"/>
    </row>
    <row r="125" spans="2:5" x14ac:dyDescent="0.3">
      <c r="B125" s="21"/>
      <c r="C125" s="26"/>
      <c r="D125" s="26"/>
      <c r="E125" s="26"/>
    </row>
    <row r="126" spans="2:5" x14ac:dyDescent="0.3">
      <c r="B126" s="21"/>
      <c r="C126" s="26"/>
      <c r="D126" s="26"/>
      <c r="E126" s="26"/>
    </row>
    <row r="127" spans="2:5" x14ac:dyDescent="0.3">
      <c r="B127" s="21"/>
      <c r="C127" s="26"/>
      <c r="D127" s="26"/>
      <c r="E127" s="26"/>
    </row>
    <row r="128" spans="2:5" x14ac:dyDescent="0.3">
      <c r="B128" s="21"/>
      <c r="C128" s="26"/>
      <c r="D128" s="26"/>
      <c r="E128" s="26"/>
    </row>
    <row r="129" spans="2:5" x14ac:dyDescent="0.3">
      <c r="B129" s="21"/>
      <c r="C129" s="26"/>
      <c r="D129" s="26"/>
      <c r="E129" s="26"/>
    </row>
    <row r="130" spans="2:5" x14ac:dyDescent="0.3">
      <c r="B130" s="21"/>
      <c r="C130" s="26"/>
      <c r="D130" s="26"/>
      <c r="E130" s="26"/>
    </row>
    <row r="131" spans="2:5" x14ac:dyDescent="0.3">
      <c r="B131" s="21"/>
      <c r="C131" s="26"/>
      <c r="D131" s="26"/>
      <c r="E131" s="26"/>
    </row>
    <row r="132" spans="2:5" x14ac:dyDescent="0.3">
      <c r="B132" s="21"/>
      <c r="C132" s="26"/>
      <c r="D132" s="26"/>
      <c r="E132" s="26"/>
    </row>
    <row r="133" spans="2:5" x14ac:dyDescent="0.3">
      <c r="B133" s="21"/>
      <c r="C133" s="26"/>
      <c r="D133" s="26"/>
      <c r="E133" s="26"/>
    </row>
    <row r="134" spans="2:5" x14ac:dyDescent="0.3">
      <c r="B134" s="21"/>
      <c r="C134" s="26"/>
      <c r="D134" s="26"/>
      <c r="E134" s="26"/>
    </row>
    <row r="135" spans="2:5" x14ac:dyDescent="0.3">
      <c r="B135" s="21"/>
      <c r="C135" s="26"/>
      <c r="D135" s="26"/>
      <c r="E135" s="26"/>
    </row>
    <row r="136" spans="2:5" x14ac:dyDescent="0.3">
      <c r="B136" s="21"/>
      <c r="C136" s="26"/>
      <c r="D136" s="26"/>
      <c r="E136" s="26"/>
    </row>
    <row r="137" spans="2:5" x14ac:dyDescent="0.3">
      <c r="B137" s="21"/>
      <c r="C137" s="26"/>
      <c r="D137" s="26"/>
      <c r="E137" s="26"/>
    </row>
    <row r="138" spans="2:5" x14ac:dyDescent="0.3">
      <c r="B138" s="21"/>
      <c r="C138" s="26"/>
      <c r="D138" s="26"/>
      <c r="E138" s="26"/>
    </row>
    <row r="139" spans="2:5" x14ac:dyDescent="0.3">
      <c r="B139" s="21"/>
      <c r="C139" s="26"/>
      <c r="D139" s="26"/>
      <c r="E139" s="26"/>
    </row>
    <row r="140" spans="2:5" x14ac:dyDescent="0.3">
      <c r="B140" s="21"/>
      <c r="C140" s="26"/>
      <c r="D140" s="26"/>
      <c r="E140" s="26"/>
    </row>
    <row r="141" spans="2:5" x14ac:dyDescent="0.3">
      <c r="B141" s="21"/>
      <c r="C141" s="26"/>
      <c r="D141" s="26"/>
      <c r="E141" s="26"/>
    </row>
    <row r="142" spans="2:5" x14ac:dyDescent="0.3">
      <c r="B142" s="21"/>
      <c r="C142" s="26"/>
      <c r="D142" s="26"/>
      <c r="E142" s="26"/>
    </row>
    <row r="143" spans="2:5" x14ac:dyDescent="0.3">
      <c r="B143" s="21"/>
      <c r="C143" s="26"/>
      <c r="D143" s="26"/>
      <c r="E143" s="26"/>
    </row>
    <row r="144" spans="2:5" x14ac:dyDescent="0.3">
      <c r="B144" s="21"/>
      <c r="C144" s="26"/>
      <c r="D144" s="26"/>
      <c r="E144" s="26"/>
    </row>
    <row r="145" spans="2:5" x14ac:dyDescent="0.3">
      <c r="B145" s="21"/>
      <c r="C145" s="26"/>
      <c r="D145" s="26"/>
      <c r="E145" s="26"/>
    </row>
    <row r="146" spans="2:5" x14ac:dyDescent="0.3">
      <c r="B146" s="21"/>
      <c r="C146" s="26"/>
      <c r="D146" s="26"/>
      <c r="E146" s="26"/>
    </row>
    <row r="147" spans="2:5" x14ac:dyDescent="0.3">
      <c r="B147" s="21"/>
      <c r="C147" s="26"/>
      <c r="D147" s="26"/>
      <c r="E147" s="26"/>
    </row>
    <row r="148" spans="2:5" x14ac:dyDescent="0.3">
      <c r="B148" s="21"/>
      <c r="C148" s="26"/>
      <c r="D148" s="26"/>
      <c r="E148" s="26"/>
    </row>
    <row r="149" spans="2:5" x14ac:dyDescent="0.3">
      <c r="B149" s="21"/>
      <c r="C149" s="26"/>
      <c r="D149" s="26"/>
      <c r="E149" s="26"/>
    </row>
    <row r="150" spans="2:5" x14ac:dyDescent="0.3">
      <c r="B150" s="21"/>
      <c r="C150" s="26"/>
      <c r="D150" s="26"/>
      <c r="E150" s="26"/>
    </row>
    <row r="151" spans="2:5" x14ac:dyDescent="0.3">
      <c r="B151" s="21"/>
      <c r="C151" s="26"/>
      <c r="D151" s="26"/>
      <c r="E151" s="26"/>
    </row>
    <row r="152" spans="2:5" x14ac:dyDescent="0.3">
      <c r="B152" s="21"/>
      <c r="C152" s="26"/>
      <c r="D152" s="26"/>
      <c r="E152" s="26"/>
    </row>
    <row r="153" spans="2:5" x14ac:dyDescent="0.3">
      <c r="B153" s="21"/>
      <c r="C153" s="26"/>
      <c r="D153" s="26"/>
      <c r="E153" s="26"/>
    </row>
    <row r="154" spans="2:5" x14ac:dyDescent="0.3">
      <c r="B154" s="21"/>
      <c r="C154" s="26"/>
      <c r="D154" s="26"/>
      <c r="E154" s="26"/>
    </row>
    <row r="155" spans="2:5" x14ac:dyDescent="0.3">
      <c r="B155" s="21"/>
      <c r="C155" s="26"/>
      <c r="D155" s="26"/>
      <c r="E155" s="26"/>
    </row>
    <row r="156" spans="2:5" x14ac:dyDescent="0.3">
      <c r="B156" s="21"/>
      <c r="C156" s="26"/>
      <c r="D156" s="26"/>
      <c r="E156" s="26"/>
    </row>
    <row r="157" spans="2:5" x14ac:dyDescent="0.3">
      <c r="B157" s="21"/>
      <c r="C157" s="26"/>
      <c r="D157" s="26"/>
      <c r="E157" s="26"/>
    </row>
    <row r="158" spans="2:5" x14ac:dyDescent="0.3">
      <c r="B158" s="21"/>
      <c r="C158" s="26"/>
      <c r="D158" s="26"/>
      <c r="E158" s="26"/>
    </row>
    <row r="159" spans="2:5" x14ac:dyDescent="0.3">
      <c r="B159" s="21"/>
      <c r="C159" s="26"/>
      <c r="D159" s="26"/>
      <c r="E159" s="26"/>
    </row>
    <row r="160" spans="2:5" x14ac:dyDescent="0.3">
      <c r="B160" s="21"/>
      <c r="C160" s="26"/>
      <c r="D160" s="26"/>
      <c r="E160" s="26"/>
    </row>
    <row r="161" spans="2:5" x14ac:dyDescent="0.3">
      <c r="B161" s="21"/>
      <c r="C161" s="26"/>
      <c r="D161" s="26"/>
      <c r="E161" s="26"/>
    </row>
    <row r="162" spans="2:5" x14ac:dyDescent="0.3">
      <c r="B162" s="21"/>
      <c r="C162" s="26"/>
      <c r="D162" s="26"/>
      <c r="E162" s="26"/>
    </row>
    <row r="163" spans="2:5" x14ac:dyDescent="0.3">
      <c r="B163" s="21"/>
      <c r="C163" s="26"/>
      <c r="D163" s="26"/>
      <c r="E163" s="26"/>
    </row>
    <row r="164" spans="2:5" x14ac:dyDescent="0.3">
      <c r="B164" s="21"/>
      <c r="C164" s="26"/>
      <c r="D164" s="26"/>
      <c r="E164" s="26"/>
    </row>
    <row r="165" spans="2:5" x14ac:dyDescent="0.3">
      <c r="B165" s="21"/>
      <c r="C165" s="26"/>
      <c r="D165" s="26"/>
      <c r="E165" s="26"/>
    </row>
    <row r="166" spans="2:5" x14ac:dyDescent="0.3">
      <c r="B166" s="21"/>
      <c r="C166" s="26"/>
      <c r="D166" s="26"/>
      <c r="E166" s="26"/>
    </row>
    <row r="167" spans="2:5" x14ac:dyDescent="0.3">
      <c r="B167" s="21"/>
      <c r="C167" s="26"/>
      <c r="D167" s="26"/>
      <c r="E167" s="26"/>
    </row>
    <row r="168" spans="2:5" x14ac:dyDescent="0.3">
      <c r="B168" s="21"/>
      <c r="C168" s="26"/>
      <c r="D168" s="26"/>
      <c r="E168" s="26"/>
    </row>
    <row r="169" spans="2:5" x14ac:dyDescent="0.3">
      <c r="B169" s="21"/>
      <c r="C169" s="26"/>
      <c r="D169" s="26"/>
      <c r="E169" s="26"/>
    </row>
    <row r="170" spans="2:5" x14ac:dyDescent="0.3">
      <c r="B170" s="21"/>
      <c r="C170" s="26"/>
      <c r="D170" s="26"/>
      <c r="E170" s="26"/>
    </row>
    <row r="171" spans="2:5" x14ac:dyDescent="0.3">
      <c r="B171" s="21"/>
      <c r="C171" s="26"/>
      <c r="D171" s="26"/>
      <c r="E171" s="26"/>
    </row>
    <row r="172" spans="2:5" x14ac:dyDescent="0.3">
      <c r="B172" s="21"/>
      <c r="C172" s="26"/>
      <c r="D172" s="26"/>
      <c r="E172" s="26"/>
    </row>
    <row r="173" spans="2:5" x14ac:dyDescent="0.3">
      <c r="B173" s="21"/>
      <c r="C173" s="26"/>
      <c r="D173" s="26"/>
      <c r="E173" s="26"/>
    </row>
    <row r="174" spans="2:5" x14ac:dyDescent="0.3">
      <c r="B174" s="21"/>
      <c r="C174" s="26"/>
      <c r="D174" s="26"/>
      <c r="E174" s="26"/>
    </row>
    <row r="175" spans="2:5" x14ac:dyDescent="0.3">
      <c r="B175" s="21"/>
      <c r="C175" s="26"/>
      <c r="D175" s="26"/>
      <c r="E175" s="26"/>
    </row>
    <row r="176" spans="2:5" x14ac:dyDescent="0.3">
      <c r="B176" s="21"/>
      <c r="C176" s="26"/>
      <c r="D176" s="26"/>
      <c r="E176" s="26"/>
    </row>
    <row r="177" spans="2:5" x14ac:dyDescent="0.3">
      <c r="B177" s="21"/>
      <c r="C177" s="26"/>
      <c r="D177" s="26"/>
      <c r="E177" s="26"/>
    </row>
    <row r="178" spans="2:5" x14ac:dyDescent="0.3">
      <c r="B178" s="21"/>
      <c r="C178" s="26"/>
      <c r="D178" s="26"/>
      <c r="E178" s="26"/>
    </row>
    <row r="179" spans="2:5" x14ac:dyDescent="0.3">
      <c r="B179" s="21"/>
      <c r="C179" s="26"/>
      <c r="D179" s="26"/>
      <c r="E179" s="26"/>
    </row>
    <row r="180" spans="2:5" x14ac:dyDescent="0.3">
      <c r="B180" s="21"/>
      <c r="C180" s="26"/>
      <c r="D180" s="26"/>
      <c r="E180" s="26"/>
    </row>
    <row r="181" spans="2:5" x14ac:dyDescent="0.3">
      <c r="B181" s="21"/>
      <c r="C181" s="26"/>
      <c r="D181" s="26"/>
      <c r="E181" s="26"/>
    </row>
    <row r="182" spans="2:5" x14ac:dyDescent="0.3">
      <c r="B182" s="21"/>
      <c r="C182" s="26"/>
      <c r="D182" s="26"/>
      <c r="E182" s="26"/>
    </row>
    <row r="183" spans="2:5" x14ac:dyDescent="0.3">
      <c r="B183" s="21"/>
      <c r="C183" s="26"/>
      <c r="D183" s="26"/>
      <c r="E183" s="26"/>
    </row>
    <row r="184" spans="2:5" x14ac:dyDescent="0.3">
      <c r="B184" s="21"/>
      <c r="C184" s="26"/>
      <c r="D184" s="26"/>
      <c r="E184" s="26"/>
    </row>
    <row r="185" spans="2:5" x14ac:dyDescent="0.3">
      <c r="B185" s="21"/>
      <c r="C185" s="26"/>
      <c r="D185" s="26"/>
      <c r="E185" s="26"/>
    </row>
    <row r="186" spans="2:5" x14ac:dyDescent="0.3">
      <c r="B186" s="21"/>
      <c r="C186" s="26"/>
      <c r="D186" s="26"/>
      <c r="E186" s="26"/>
    </row>
    <row r="187" spans="2:5" x14ac:dyDescent="0.3">
      <c r="B187" s="21"/>
      <c r="C187" s="26"/>
      <c r="D187" s="26"/>
      <c r="E187" s="26"/>
    </row>
    <row r="188" spans="2:5" x14ac:dyDescent="0.3">
      <c r="B188" s="21"/>
      <c r="C188" s="26"/>
      <c r="D188" s="26"/>
      <c r="E188" s="26"/>
    </row>
    <row r="189" spans="2:5" x14ac:dyDescent="0.3">
      <c r="B189" s="21"/>
      <c r="C189" s="26"/>
      <c r="D189" s="26"/>
      <c r="E189" s="26"/>
    </row>
    <row r="190" spans="2:5" x14ac:dyDescent="0.3">
      <c r="B190" s="21"/>
      <c r="C190" s="26"/>
      <c r="D190" s="26"/>
      <c r="E190" s="26"/>
    </row>
    <row r="191" spans="2:5" x14ac:dyDescent="0.3">
      <c r="B191" s="21"/>
      <c r="C191" s="26"/>
      <c r="D191" s="26"/>
      <c r="E191" s="26"/>
    </row>
    <row r="192" spans="2:5" x14ac:dyDescent="0.3">
      <c r="B192" s="21"/>
      <c r="C192" s="26"/>
      <c r="D192" s="26"/>
      <c r="E192" s="26"/>
    </row>
  </sheetData>
  <autoFilter ref="C2:K28" xr:uid="{C105D686-6146-443D-B559-572A100E4284}"/>
  <phoneticPr fontId="4" type="noConversion"/>
  <conditionalFormatting sqref="E3:E28">
    <cfRule type="containsText" dxfId="3" priority="7" operator="containsText" text="TRUE">
      <formula>NOT(ISERROR(SEARCH("TRUE",E3)))</formula>
    </cfRule>
    <cfRule type="containsText" dxfId="2" priority="8" operator="containsText" text="FALSE">
      <formula>NOT(ISERROR(SEARCH("FALSE",E3)))</formula>
    </cfRule>
  </conditionalFormatting>
  <conditionalFormatting sqref="G3:I28">
    <cfRule type="containsText" dxfId="1" priority="1" operator="containsText" text="TRUE">
      <formula>NOT(ISERROR(SEARCH("TRUE",G3)))</formula>
    </cfRule>
    <cfRule type="containsText" dxfId="0" priority="2" operator="containsText" text="FALSE">
      <formula>NOT(ISERROR(SEARCH("FALSE",G3)))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价格指数</vt:lpstr>
      <vt:lpstr>EDB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2025-05-16T07:19:08Z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79ae8b48</vt:lpwstr>
  </property>
</Properties>
</file>